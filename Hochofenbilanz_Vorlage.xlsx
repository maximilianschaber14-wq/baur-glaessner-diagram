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Baur-Gläsner-Diagramm\"/>
    </mc:Choice>
  </mc:AlternateContent>
  <xr:revisionPtr revIDLastSave="0" documentId="8_{D6E3D555-50D6-4DDD-8FF7-2D5237576BC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hemische Grundlagen" sheetId="2" r:id="rId1"/>
    <sheet name="Massenbilanz" sheetId="1" r:id="rId2"/>
    <sheet name="Rist-Diagram" sheetId="3" r:id="rId3"/>
    <sheet name="Energiebilanz" sheetId="4" r:id="rId4"/>
  </sheets>
  <definedNames>
    <definedName name="solver_adj" localSheetId="1" hidden="1">Massenbilanz!$D$35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0" localSheetId="1" hidden="1">Massenbilanz!$D$34</definedName>
    <definedName name="solver_lhs1" localSheetId="1" hidden="1">Massenbilanz!$D$34</definedName>
    <definedName name="solver_lhs2" localSheetId="1" hidden="1">Massenbilanz!$D$34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Massenbilanz!$D$34</definedName>
    <definedName name="solver_pre" localSheetId="1" hidden="1">0.000001</definedName>
    <definedName name="solver_rbv" localSheetId="1" hidden="1">2</definedName>
    <definedName name="solver_rel0" localSheetId="1" hidden="1">2</definedName>
    <definedName name="solver_rel1" localSheetId="1" hidden="1">2</definedName>
    <definedName name="solver_rel2" localSheetId="1" hidden="1">2</definedName>
    <definedName name="solver_rhs0" localSheetId="1" hidden="1">"="</definedName>
    <definedName name="solver_rhs1" localSheetId="1" hidden="1">"="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B9" i="1"/>
  <c r="B11" i="3"/>
  <c r="B12" i="3"/>
  <c r="B6" i="3"/>
  <c r="B5" i="3"/>
  <c r="I15" i="1"/>
  <c r="C19" i="4"/>
  <c r="L9" i="1"/>
  <c r="R16" i="1"/>
  <c r="C5" i="1"/>
  <c r="G6" i="4"/>
  <c r="D56" i="4"/>
  <c r="G19" i="4"/>
  <c r="G18" i="4"/>
  <c r="I18" i="4"/>
  <c r="H18" i="4"/>
  <c r="F18" i="4"/>
  <c r="D54" i="4"/>
  <c r="D51" i="4"/>
  <c r="D43" i="4"/>
  <c r="D52" i="4"/>
  <c r="D50" i="4"/>
  <c r="D42" i="4"/>
  <c r="D41" i="4"/>
  <c r="E18" i="4"/>
  <c r="D18" i="4"/>
  <c r="C18" i="4"/>
  <c r="E19" i="4"/>
  <c r="I19" i="4"/>
  <c r="H19" i="4"/>
  <c r="F19" i="4"/>
  <c r="D19" i="4"/>
  <c r="E27" i="4"/>
  <c r="E28" i="4"/>
  <c r="E29" i="4"/>
  <c r="E30" i="4"/>
  <c r="E31" i="4"/>
  <c r="E32" i="4"/>
  <c r="E33" i="4"/>
  <c r="E34" i="4"/>
  <c r="E26" i="4"/>
  <c r="G53" i="3"/>
  <c r="G54" i="3"/>
  <c r="G55" i="3"/>
  <c r="G52" i="3"/>
  <c r="G43" i="3"/>
  <c r="G44" i="3"/>
  <c r="G45" i="3"/>
  <c r="G42" i="3"/>
  <c r="I36" i="1"/>
  <c r="B8" i="3"/>
  <c r="B14" i="1"/>
  <c r="B35" i="1"/>
  <c r="B34" i="1"/>
  <c r="B33" i="1"/>
  <c r="D37" i="1"/>
  <c r="B37" i="1"/>
  <c r="C35" i="1"/>
  <c r="C34" i="1"/>
  <c r="C33" i="1"/>
  <c r="E35" i="1"/>
  <c r="E34" i="1"/>
  <c r="E33" i="1"/>
  <c r="D33" i="1"/>
  <c r="M10" i="1"/>
  <c r="M9" i="1"/>
  <c r="G35" i="1"/>
  <c r="G34" i="1"/>
  <c r="G33" i="1"/>
  <c r="M8" i="1"/>
  <c r="M7" i="1"/>
  <c r="B44" i="1"/>
  <c r="D7" i="1"/>
  <c r="D6" i="1"/>
  <c r="D5" i="1"/>
  <c r="C6" i="1"/>
  <c r="C7" i="1"/>
  <c r="M21" i="1"/>
  <c r="M20" i="1"/>
  <c r="M19" i="1"/>
  <c r="R19" i="1"/>
  <c r="L21" i="1"/>
  <c r="L20" i="1"/>
  <c r="L19" i="1"/>
  <c r="D24" i="1"/>
  <c r="D23" i="1"/>
  <c r="C24" i="1"/>
  <c r="C23" i="1"/>
  <c r="M18" i="1"/>
  <c r="R18" i="1"/>
  <c r="J22" i="1"/>
  <c r="J19" i="1"/>
  <c r="J18" i="1"/>
  <c r="J17" i="1"/>
  <c r="R17" i="1"/>
  <c r="N22" i="1"/>
  <c r="N19" i="1"/>
  <c r="N17" i="1"/>
  <c r="N16" i="1"/>
  <c r="K22" i="1"/>
  <c r="K19" i="1"/>
  <c r="K18" i="1"/>
  <c r="K16" i="1"/>
  <c r="I22" i="1"/>
  <c r="I19" i="1"/>
  <c r="I17" i="1"/>
  <c r="I16" i="1"/>
  <c r="I21" i="1"/>
  <c r="O21" i="1"/>
  <c r="L10" i="1"/>
  <c r="L8" i="1"/>
  <c r="O10" i="1"/>
  <c r="N10" i="1"/>
  <c r="N8" i="1"/>
  <c r="N6" i="1"/>
  <c r="N5" i="1"/>
  <c r="I10" i="1"/>
  <c r="J10" i="1"/>
  <c r="K10" i="1"/>
  <c r="K8" i="1"/>
  <c r="K5" i="1"/>
  <c r="J8" i="1"/>
  <c r="J6" i="1"/>
  <c r="I8" i="1"/>
  <c r="I6" i="1"/>
  <c r="I5" i="1"/>
  <c r="I4" i="1"/>
  <c r="B9" i="2"/>
  <c r="B4" i="2"/>
  <c r="B15" i="3" l="1"/>
  <c r="C24" i="3" s="1"/>
  <c r="B27" i="3" s="1"/>
  <c r="B28" i="3" s="1"/>
  <c r="B14" i="3"/>
  <c r="C23" i="3" l="1"/>
  <c r="C25" i="3"/>
  <c r="C32" i="3"/>
  <c r="C33" i="3" s="1"/>
</calcChain>
</file>

<file path=xl/sharedStrings.xml><?xml version="1.0" encoding="utf-8"?>
<sst xmlns="http://schemas.openxmlformats.org/spreadsheetml/2006/main" count="255" uniqueCount="142">
  <si>
    <t>Einsatzstoffe</t>
  </si>
  <si>
    <t>Eisenerz</t>
  </si>
  <si>
    <t>CaO</t>
  </si>
  <si>
    <t xml:space="preserve"> [%]</t>
  </si>
  <si>
    <t xml:space="preserve">CaO </t>
  </si>
  <si>
    <t>Zuschläge</t>
  </si>
  <si>
    <r>
      <t>SiO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</si>
  <si>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r>
      <t>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</si>
  <si>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CaCO</t>
    </r>
    <r>
      <rPr>
        <vertAlign val="subscript"/>
        <sz val="11"/>
        <color theme="1"/>
        <rFont val="Calibri"/>
        <family val="2"/>
        <scheme val="minor"/>
      </rPr>
      <t>3</t>
    </r>
  </si>
  <si>
    <t>Koks</t>
  </si>
  <si>
    <t>C</t>
  </si>
  <si>
    <r>
      <t>SiO</t>
    </r>
    <r>
      <rPr>
        <vertAlign val="subscript"/>
        <sz val="11"/>
        <color theme="1"/>
        <rFont val="Calibri"/>
        <family val="2"/>
        <scheme val="minor"/>
      </rPr>
      <t>2</t>
    </r>
  </si>
  <si>
    <t>Menge [kg/tHM]</t>
  </si>
  <si>
    <t>Heißwind</t>
  </si>
  <si>
    <t>Menge [Nm³/tHM]</t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</si>
  <si>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</si>
  <si>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</si>
  <si>
    <t>Produkte</t>
  </si>
  <si>
    <t>Roheisen</t>
  </si>
  <si>
    <t>Schlacke</t>
  </si>
  <si>
    <t>B2</t>
  </si>
  <si>
    <t>Fe</t>
  </si>
  <si>
    <t>Si</t>
  </si>
  <si>
    <t>Menge [kmol/tHM]</t>
  </si>
  <si>
    <t>molare Masse Fe</t>
  </si>
  <si>
    <t>molare Massen</t>
  </si>
  <si>
    <t>kg/kmol</t>
  </si>
  <si>
    <t>molare Masse Si</t>
  </si>
  <si>
    <r>
      <t>molare Masse 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</si>
  <si>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molare Masse SiO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</si>
  <si>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>molare Masse Ca</t>
  </si>
  <si>
    <t>molare Masse CaO</t>
  </si>
  <si>
    <t>molare Masse O</t>
  </si>
  <si>
    <t>molare Masse C</t>
  </si>
  <si>
    <t>molare Masse CO</t>
  </si>
  <si>
    <r>
      <t>molare Masse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</si>
  <si>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r>
      <t>molare Masse N</t>
    </r>
    <r>
      <rPr>
        <vertAlign val="subscript"/>
        <sz val="11"/>
        <color theme="1"/>
        <rFont val="Calibri"/>
        <family val="2"/>
        <scheme val="minor"/>
      </rPr>
      <t xml:space="preserve">2 </t>
    </r>
  </si>
  <si>
    <r>
      <t>molare Masse CO</t>
    </r>
    <r>
      <rPr>
        <vertAlign val="subscript"/>
        <sz val="11"/>
        <color theme="1"/>
        <rFont val="Calibri"/>
        <family val="2"/>
        <scheme val="minor"/>
      </rPr>
      <t>2</t>
    </r>
  </si>
  <si>
    <t>Ca</t>
  </si>
  <si>
    <t>O</t>
  </si>
  <si>
    <t>N</t>
  </si>
  <si>
    <t>Erz</t>
  </si>
  <si>
    <t>Gichtgas</t>
  </si>
  <si>
    <r>
      <t>molare Masse CaCO</t>
    </r>
    <r>
      <rPr>
        <vertAlign val="subscript"/>
        <sz val="11"/>
        <color theme="1"/>
        <rFont val="Calibri"/>
        <family val="2"/>
        <scheme val="minor"/>
      </rPr>
      <t>3</t>
    </r>
  </si>
  <si>
    <t>A) Berechnungsmatrix (Umrechnung der Zusammensetzung auf Massenkonzentration der Elemente) in %</t>
  </si>
  <si>
    <t>Summe</t>
  </si>
  <si>
    <t>Erz (1)</t>
  </si>
  <si>
    <t>Zuschläge (2)</t>
  </si>
  <si>
    <t>Koks (3)</t>
  </si>
  <si>
    <t>Heißwind (4)</t>
  </si>
  <si>
    <t>Gichtgas (5)</t>
  </si>
  <si>
    <t>Schlacke (6)</t>
  </si>
  <si>
    <t>Roheisen (7)</t>
  </si>
  <si>
    <t>B) Massenbilanz der Elemente in kg bzw. kg/tHM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</si>
  <si>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</si>
  <si>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 xml:space="preserve">CO </t>
  </si>
  <si>
    <t>b) Si-Bilanz</t>
  </si>
  <si>
    <t>a)  Fe-bilanz</t>
  </si>
  <si>
    <t>kg (Eisenerz)</t>
  </si>
  <si>
    <t>kg (Schlacke)</t>
  </si>
  <si>
    <t>c) Ca-Bilanz</t>
  </si>
  <si>
    <t>kg (Zuschläge)</t>
  </si>
  <si>
    <t>d) C-Bilanz</t>
  </si>
  <si>
    <t>kg (im Gichtgas)</t>
  </si>
  <si>
    <t>kg O im Gichtgas</t>
  </si>
  <si>
    <t>C) Bilanzierung der Gichtgas</t>
  </si>
  <si>
    <t xml:space="preserve">C </t>
  </si>
  <si>
    <t>&gt; lineares Gleichungssystem</t>
  </si>
  <si>
    <t>GOD</t>
  </si>
  <si>
    <t>kmol/t HM</t>
  </si>
  <si>
    <r>
      <t>O</t>
    </r>
    <r>
      <rPr>
        <vertAlign val="subscript"/>
        <sz val="10"/>
        <rFont val="Arial"/>
        <family val="2"/>
      </rPr>
      <t>Si</t>
    </r>
  </si>
  <si>
    <t>Sum O</t>
  </si>
  <si>
    <t>Ordinatenabschnitt d</t>
  </si>
  <si>
    <t>Steigung k</t>
  </si>
  <si>
    <t>RG</t>
  </si>
  <si>
    <t>indirect reduction</t>
  </si>
  <si>
    <t>direct reduction</t>
  </si>
  <si>
    <t>Graphical display</t>
  </si>
  <si>
    <t>y=k*x+d</t>
  </si>
  <si>
    <t>O/Fe</t>
  </si>
  <si>
    <t>O/C</t>
  </si>
  <si>
    <t>Gesamt</t>
  </si>
  <si>
    <r>
      <t>O</t>
    </r>
    <r>
      <rPr>
        <sz val="11"/>
        <color theme="1"/>
        <rFont val="Calibri"/>
        <family val="2"/>
        <scheme val="minor"/>
      </rPr>
      <t>/Fe</t>
    </r>
  </si>
  <si>
    <r>
      <t>C</t>
    </r>
    <r>
      <rPr>
        <sz val="11"/>
        <color theme="1"/>
        <rFont val="Calibri"/>
        <family val="2"/>
        <scheme val="minor"/>
      </rPr>
      <t>/Fe</t>
    </r>
  </si>
  <si>
    <t>Hochofen-Massenbilanz</t>
  </si>
  <si>
    <t>Hochofen-Ristdiagramm</t>
  </si>
  <si>
    <t>Sum O extern</t>
  </si>
  <si>
    <t>aus Heißwind und SiO2</t>
  </si>
  <si>
    <t>C nur für Reduktion</t>
  </si>
  <si>
    <t>Erstellen der Betriebsgeraden</t>
  </si>
  <si>
    <t>Anteil indirekte/direkte Reduktion</t>
  </si>
  <si>
    <t>(O/Fe)=k*(O/C)+d</t>
  </si>
  <si>
    <t>O/Fe-Verhältnis der Inputstoffe (Einsetzen von Punkt I in Geradengleichung)</t>
  </si>
  <si>
    <t>einsetzen in Gleichung für O/C=1</t>
  </si>
  <si>
    <t>GOD Gichtgas</t>
  </si>
  <si>
    <t>einsetzen in Gleichung für O/Fe=1.5</t>
  </si>
  <si>
    <t>GOD (RIST)</t>
  </si>
  <si>
    <t>GOD (Massen)</t>
  </si>
  <si>
    <t>Differenz durch Kalzinierung von Kalk</t>
  </si>
  <si>
    <t>Konstruktion Wüstitecke (bei 1200°C)</t>
  </si>
  <si>
    <t>X (CO2)</t>
  </si>
  <si>
    <r>
      <t>O</t>
    </r>
    <r>
      <rPr>
        <vertAlign val="subscript"/>
        <sz val="11"/>
        <color theme="1"/>
        <rFont val="Calibri"/>
        <family val="2"/>
        <scheme val="minor"/>
      </rPr>
      <t xml:space="preserve"> Wind</t>
    </r>
  </si>
  <si>
    <t>aus Baur Glaessner für Fe/FeO</t>
  </si>
  <si>
    <t>Glgw. O/Fe</t>
  </si>
  <si>
    <t>Glgw. CO/CO2</t>
  </si>
  <si>
    <t>aus Fe-O-System</t>
  </si>
  <si>
    <t>Fe/Wü</t>
  </si>
  <si>
    <t>Mag/Hem+Mag</t>
  </si>
  <si>
    <t>Wü/Mag+Wu</t>
  </si>
  <si>
    <t>Mag+Wu/Mag</t>
  </si>
  <si>
    <t>Glgw.-Linien</t>
  </si>
  <si>
    <t>x (O/C)</t>
  </si>
  <si>
    <t>y (O/Fe)</t>
  </si>
  <si>
    <t>Konstruktion Wüstitecke (bei 900°C)</t>
  </si>
  <si>
    <t>Hochofen-Energiebilanz</t>
  </si>
  <si>
    <t>Input</t>
  </si>
  <si>
    <t>Verluste</t>
  </si>
  <si>
    <t>Output</t>
  </si>
  <si>
    <t>Masse [kg]</t>
  </si>
  <si>
    <t>Temperatur [°C]</t>
  </si>
  <si>
    <t xml:space="preserve">RE </t>
  </si>
  <si>
    <r>
      <t>CaO-SiO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</si>
  <si>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>Enthalpie [MJ]</t>
  </si>
  <si>
    <t>spez. Enthalpie [MJ/kg]</t>
  </si>
  <si>
    <t>Zusammensetzung (Massenanteil in %)</t>
  </si>
  <si>
    <t>Angaben</t>
  </si>
  <si>
    <t>MG [kg/kmol]</t>
  </si>
  <si>
    <t>spez. Enthalpie [KJ/kmol]</t>
  </si>
  <si>
    <t>Gichtgaszusammensetzung</t>
  </si>
  <si>
    <t>[wt-%]</t>
  </si>
  <si>
    <t>[mol-%]</t>
  </si>
  <si>
    <t>MG (Gichtgas)</t>
  </si>
  <si>
    <t>Gichtgastemperatur (mit cp-Werten für 600°C)</t>
  </si>
  <si>
    <t>cp(J/molK)</t>
  </si>
  <si>
    <t>für 600 °C</t>
  </si>
  <si>
    <t>cp(MJ/kgK)</t>
  </si>
  <si>
    <t xml:space="preserve">Gichtgastemperatur </t>
  </si>
  <si>
    <t>°C</t>
  </si>
  <si>
    <t xml:space="preserve"> [mol-%]</t>
  </si>
  <si>
    <t>bei den gegebenen Temperaturen</t>
  </si>
  <si>
    <r>
      <rPr>
        <i/>
        <sz val="10"/>
        <color theme="0" tint="-0.249977111117893"/>
        <rFont val="Arial"/>
        <family val="2"/>
      </rPr>
      <t>aus Baur Glaessner für FeO/Fe</t>
    </r>
    <r>
      <rPr>
        <vertAlign val="subscript"/>
        <sz val="11"/>
        <color theme="0" tint="-0.249977111117893"/>
        <rFont val="Calibri"/>
        <family val="2"/>
        <scheme val="minor"/>
      </rPr>
      <t>3</t>
    </r>
    <r>
      <rPr>
        <sz val="11"/>
        <color theme="0" tint="-0.249977111117893"/>
        <rFont val="Calibri"/>
        <family val="2"/>
        <scheme val="minor"/>
      </rPr>
      <t>O</t>
    </r>
    <r>
      <rPr>
        <vertAlign val="subscript"/>
        <sz val="11"/>
        <color theme="0" tint="-0.249977111117893"/>
        <rFont val="Calibri"/>
        <family val="2"/>
        <scheme val="minor"/>
      </rPr>
      <t>4</t>
    </r>
  </si>
  <si>
    <t xml:space="preserve">e) Berechnen 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</si>
</sst>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0"/>
      <name val="Arial"/>
      <family val="2"/>
    </font>
    <font>
      <sz val="8"/>
      <name val="Arial"/>
      <family val="2"/>
    </font>
    <font>
      <i/>
      <sz val="10"/>
      <color indexed="22"/>
      <name val="Arial"/>
      <family val="2"/>
    </font>
    <font>
      <sz val="10"/>
      <color indexed="22"/>
      <name val="Arial"/>
      <family val="2"/>
    </font>
    <font>
      <i/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Arial"/>
      <family val="2"/>
    </font>
    <font>
      <i/>
      <sz val="11"/>
      <color theme="0" tint="-0.14999847407452621"/>
      <name val="Calibri"/>
      <family val="2"/>
      <scheme val="minor"/>
    </font>
    <font>
      <i/>
      <sz val="10"/>
      <color theme="0" tint="-0.249977111117893"/>
      <name val="Arial"/>
      <family val="2"/>
    </font>
    <font>
      <vertAlign val="subscript"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" fillId="0" borderId="0" xfId="0" applyFont="1"/>
    <xf numFmtId="0" fontId="1" fillId="5" borderId="0" xfId="0" applyFont="1" applyFill="1"/>
    <xf numFmtId="0" fontId="0" fillId="2" borderId="0" xfId="0" applyFill="1" applyAlignment="1">
      <alignment horizontal="right"/>
    </xf>
    <xf numFmtId="0" fontId="0" fillId="2" borderId="0" xfId="0" applyFill="1"/>
    <xf numFmtId="0" fontId="1" fillId="4" borderId="0" xfId="0" applyFont="1" applyFill="1"/>
    <xf numFmtId="0" fontId="0" fillId="7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/>
    <xf numFmtId="0" fontId="0" fillId="8" borderId="0" xfId="0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1" xfId="0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2" fontId="0" fillId="0" borderId="1" xfId="0" applyNumberFormat="1" applyBorder="1"/>
    <xf numFmtId="166" fontId="0" fillId="0" borderId="0" xfId="0" applyNumberFormat="1"/>
    <xf numFmtId="1" fontId="0" fillId="0" borderId="0" xfId="0" applyNumberFormat="1"/>
    <xf numFmtId="2" fontId="0" fillId="8" borderId="0" xfId="0" applyNumberFormat="1" applyFill="1"/>
    <xf numFmtId="0" fontId="0" fillId="3" borderId="0" xfId="0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9" borderId="0" xfId="0" applyFill="1"/>
    <xf numFmtId="0" fontId="4" fillId="0" borderId="0" xfId="0" applyFont="1"/>
    <xf numFmtId="0" fontId="0" fillId="10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2" fontId="0" fillId="0" borderId="10" xfId="0" applyNumberFormat="1" applyBorder="1"/>
    <xf numFmtId="0" fontId="0" fillId="0" borderId="10" xfId="0" applyBorder="1"/>
    <xf numFmtId="2" fontId="8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2" xfId="0" applyBorder="1"/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164" fontId="0" fillId="0" borderId="9" xfId="0" applyNumberFormat="1" applyBorder="1"/>
    <xf numFmtId="1" fontId="0" fillId="0" borderId="10" xfId="0" applyNumberFormat="1" applyBorder="1"/>
    <xf numFmtId="0" fontId="0" fillId="2" borderId="10" xfId="0" applyFill="1" applyBorder="1"/>
    <xf numFmtId="0" fontId="0" fillId="11" borderId="0" xfId="0" applyFill="1"/>
    <xf numFmtId="0" fontId="0" fillId="0" borderId="0" xfId="0" applyAlignment="1">
      <alignment vertical="center"/>
    </xf>
    <xf numFmtId="0" fontId="0" fillId="12" borderId="10" xfId="0" applyFill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165" fontId="0" fillId="0" borderId="10" xfId="0" applyNumberFormat="1" applyBorder="1"/>
    <xf numFmtId="0" fontId="0" fillId="12" borderId="10" xfId="0" applyFill="1" applyBorder="1"/>
    <xf numFmtId="0" fontId="11" fillId="0" borderId="0" xfId="0" applyFont="1"/>
    <xf numFmtId="2" fontId="0" fillId="0" borderId="4" xfId="0" applyNumberFormat="1" applyBorder="1"/>
    <xf numFmtId="2" fontId="0" fillId="0" borderId="6" xfId="0" applyNumberFormat="1" applyBorder="1"/>
    <xf numFmtId="2" fontId="0" fillId="0" borderId="9" xfId="0" applyNumberFormat="1" applyBorder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2" fontId="1" fillId="0" borderId="0" xfId="0" applyNumberFormat="1" applyFont="1"/>
    <xf numFmtId="2" fontId="0" fillId="0" borderId="8" xfId="0" applyNumberFormat="1" applyBorder="1"/>
    <xf numFmtId="2" fontId="0" fillId="6" borderId="0" xfId="0" applyNumberFormat="1" applyFill="1" applyAlignment="1">
      <alignment horizontal="right"/>
    </xf>
    <xf numFmtId="2" fontId="0" fillId="6" borderId="0" xfId="0" applyNumberFormat="1" applyFill="1"/>
    <xf numFmtId="2" fontId="1" fillId="6" borderId="0" xfId="0" applyNumberFormat="1" applyFont="1" applyFill="1" applyAlignment="1">
      <alignment horizontal="right"/>
    </xf>
    <xf numFmtId="165" fontId="0" fillId="0" borderId="16" xfId="0" applyNumberFormat="1" applyBorder="1"/>
    <xf numFmtId="2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8" borderId="10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2" fillId="0" borderId="0" xfId="0" applyFont="1"/>
    <xf numFmtId="2" fontId="0" fillId="6" borderId="10" xfId="0" applyNumberFormat="1" applyFill="1" applyBorder="1"/>
    <xf numFmtId="0" fontId="0" fillId="3" borderId="0" xfId="0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 textRotation="90"/>
    </xf>
    <xf numFmtId="0" fontId="0" fillId="0" borderId="15" xfId="0" applyBorder="1" applyAlignment="1">
      <alignment horizontal="center" textRotation="90"/>
    </xf>
    <xf numFmtId="0" fontId="0" fillId="0" borderId="14" xfId="0" applyBorder="1" applyAlignment="1">
      <alignment horizontal="center" textRotation="90"/>
    </xf>
    <xf numFmtId="0" fontId="0" fillId="5" borderId="10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98674662571204"/>
          <c:y val="0.13101983019616906"/>
          <c:w val="0.78173433700653139"/>
          <c:h val="0.80555711642236405"/>
        </c:manualLayout>
      </c:layout>
      <c:scatterChart>
        <c:scatterStyle val="smoothMarker"/>
        <c:varyColors val="0"/>
        <c:ser>
          <c:idx val="1"/>
          <c:order val="0"/>
          <c:tx>
            <c:v>Diagrammachse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'Rist-Diagram'!$F$12:$F$13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'Rist-Diagram'!$G$12:$G$13</c:f>
              <c:numCache>
                <c:formatCode>General</c:formatCode>
                <c:ptCount val="2"/>
                <c:pt idx="0">
                  <c:v>-2</c:v>
                </c:pt>
                <c:pt idx="1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DC-4D38-B0DE-4FD6698B7EB0}"/>
            </c:ext>
          </c:extLst>
        </c:ser>
        <c:ser>
          <c:idx val="0"/>
          <c:order val="1"/>
          <c:tx>
            <c:v>Betriebsgerade</c:v>
          </c:tx>
          <c:marker>
            <c:symbol val="none"/>
          </c:marker>
          <c:xVal>
            <c:numRef>
              <c:f>'Rist-Diagram'!$B$23:$B$25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'Rist-Diagram'!$C$23:$C$25</c:f>
              <c:numCache>
                <c:formatCode>0.00</c:formatCode>
                <c:ptCount val="3"/>
                <c:pt idx="0">
                  <c:v>-1.3285660930031518</c:v>
                </c:pt>
                <c:pt idx="1">
                  <c:v>0.5975920400515331</c:v>
                </c:pt>
                <c:pt idx="2">
                  <c:v>2.523750173106218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DC-4D38-B0DE-4FD6698B7EB0}"/>
            </c:ext>
          </c:extLst>
        </c:ser>
        <c:ser>
          <c:idx val="2"/>
          <c:order val="2"/>
          <c:tx>
            <c:v>1200</c:v>
          </c:tx>
          <c:marker>
            <c:symbol val="none"/>
          </c:marker>
          <c:xVal>
            <c:numRef>
              <c:f>'Rist-Diagram'!$K$39:$K$43</c:f>
              <c:numCache>
                <c:formatCode>General</c:formatCode>
                <c:ptCount val="5"/>
                <c:pt idx="0">
                  <c:v>1.24</c:v>
                </c:pt>
                <c:pt idx="1">
                  <c:v>1.24</c:v>
                </c:pt>
                <c:pt idx="2">
                  <c:v>1.86</c:v>
                </c:pt>
                <c:pt idx="3">
                  <c:v>1.86</c:v>
                </c:pt>
                <c:pt idx="4">
                  <c:v>2</c:v>
                </c:pt>
              </c:numCache>
            </c:numRef>
          </c:xVal>
          <c:yVal>
            <c:numRef>
              <c:f>'Rist-Diagram'!$L$39:$L$43</c:f>
              <c:numCache>
                <c:formatCode>0.0000</c:formatCode>
                <c:ptCount val="5"/>
                <c:pt idx="0" formatCode="General">
                  <c:v>0</c:v>
                </c:pt>
                <c:pt idx="1">
                  <c:v>1.0491803278688525</c:v>
                </c:pt>
                <c:pt idx="2">
                  <c:v>1.173913043478261</c:v>
                </c:pt>
                <c:pt idx="3">
                  <c:v>1.3364485981308414</c:v>
                </c:pt>
                <c:pt idx="4">
                  <c:v>1.3529411764705883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DC-4D38-B0DE-4FD6698B7EB0}"/>
            </c:ext>
          </c:extLst>
        </c:ser>
        <c:ser>
          <c:idx val="3"/>
          <c:order val="3"/>
          <c:tx>
            <c:v>900</c:v>
          </c:tx>
          <c:marker>
            <c:symbol val="none"/>
          </c:marker>
          <c:xVal>
            <c:numRef>
              <c:f>'Rist-Diagram'!$K$49:$K$53</c:f>
              <c:numCache>
                <c:formatCode>General</c:formatCode>
                <c:ptCount val="5"/>
                <c:pt idx="0">
                  <c:v>1.3</c:v>
                </c:pt>
                <c:pt idx="1">
                  <c:v>1.3</c:v>
                </c:pt>
                <c:pt idx="2">
                  <c:v>1.77</c:v>
                </c:pt>
                <c:pt idx="3">
                  <c:v>1.77</c:v>
                </c:pt>
                <c:pt idx="4">
                  <c:v>2</c:v>
                </c:pt>
              </c:numCache>
            </c:numRef>
          </c:xVal>
          <c:yVal>
            <c:numRef>
              <c:f>'Rist-Diagram'!$L$49:$L$53</c:f>
              <c:numCache>
                <c:formatCode>0.0000</c:formatCode>
                <c:ptCount val="5"/>
                <c:pt idx="0" formatCode="General">
                  <c:v>0</c:v>
                </c:pt>
                <c:pt idx="1">
                  <c:v>1.0491803278688525</c:v>
                </c:pt>
                <c:pt idx="2">
                  <c:v>1.1276595744680851</c:v>
                </c:pt>
                <c:pt idx="3">
                  <c:v>1.3364485981308414</c:v>
                </c:pt>
                <c:pt idx="4">
                  <c:v>1.3419203747072599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DC-4D38-B0DE-4FD6698B7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69760"/>
        <c:axId val="52470336"/>
      </c:scatterChart>
      <c:valAx>
        <c:axId val="52469760"/>
        <c:scaling>
          <c:orientation val="minMax"/>
          <c:max val="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O/C</a:t>
                </a:r>
              </a:p>
            </c:rich>
          </c:tx>
          <c:layout>
            <c:manualLayout>
              <c:xMode val="edge"/>
              <c:yMode val="edge"/>
              <c:x val="0.53715186530476267"/>
              <c:y val="2.1341111804279281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2470336"/>
        <c:crosses val="autoZero"/>
        <c:crossBetween val="midCat"/>
        <c:majorUnit val="1"/>
      </c:valAx>
      <c:valAx>
        <c:axId val="52470336"/>
        <c:scaling>
          <c:orientation val="minMax"/>
          <c:max val="1.5"/>
          <c:min val="-1.5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O/Fe</a:t>
                </a:r>
              </a:p>
            </c:rich>
          </c:tx>
          <c:layout>
            <c:manualLayout>
              <c:xMode val="edge"/>
              <c:yMode val="edge"/>
              <c:x val="5.3147574819401446E-2"/>
              <c:y val="0.2934558554912969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24697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1133475</xdr:colOff>
      <xdr:row>3</xdr:row>
      <xdr:rowOff>0</xdr:rowOff>
    </xdr:from>
    <xdr:to>
      <xdr:col>15</xdr:col>
      <xdr:colOff>609600</xdr:colOff>
      <xdr:row>35</xdr:row>
      <xdr:rowOff>57150</xdr:rowOff>
    </xdr:to>
    <xdr:graphicFrame macro="">
      <xdr:nvGraphicFramePr>
        <xdr:cNvPr id="2" name="Diagramm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G23" sqref="G23"/>
    </sheetView>
  </sheetViews>
  <sheetFormatPr baseColWidth="10" defaultRowHeight="14.4" x14ac:dyDescent="0.3"/>
  <cols>
    <col min="1" max="1" width="22" customWidth="1"/>
  </cols>
  <sheetData>
    <row r="1" spans="1:2" x14ac:dyDescent="0.3">
      <c r="A1" s="11" t="s">
        <v>25</v>
      </c>
    </row>
    <row r="2" spans="1:2" x14ac:dyDescent="0.3">
      <c r="B2" t="s">
        <v>26</v>
      </c>
    </row>
    <row r="3" spans="1:2" x14ac:dyDescent="0.3">
      <c r="A3" t="s">
        <v>24</v>
      </c>
      <c r="B3">
        <v>56</v>
      </c>
    </row>
    <row r="4" spans="1:2" ht="15.6" x14ac:dyDescent="0.35">
      <c r="A4" t="s">
        <v>28</v>
      </c>
      <c r="B4">
        <f>2*56+3*16</f>
        <v>160</v>
      </c>
    </row>
    <row r="5" spans="1:2" x14ac:dyDescent="0.3">
      <c r="A5" t="s">
        <v>27</v>
      </c>
      <c r="B5">
        <v>28</v>
      </c>
    </row>
    <row r="6" spans="1:2" ht="15.6" x14ac:dyDescent="0.35">
      <c r="A6" t="s">
        <v>29</v>
      </c>
      <c r="B6">
        <v>60</v>
      </c>
    </row>
    <row r="7" spans="1:2" x14ac:dyDescent="0.3">
      <c r="A7" t="s">
        <v>30</v>
      </c>
      <c r="B7">
        <v>40</v>
      </c>
    </row>
    <row r="8" spans="1:2" x14ac:dyDescent="0.3">
      <c r="A8" t="s">
        <v>31</v>
      </c>
      <c r="B8">
        <v>56</v>
      </c>
    </row>
    <row r="9" spans="1:2" ht="15.6" x14ac:dyDescent="0.35">
      <c r="A9" t="s">
        <v>43</v>
      </c>
      <c r="B9">
        <f>B8+B15</f>
        <v>100</v>
      </c>
    </row>
    <row r="10" spans="1:2" x14ac:dyDescent="0.3">
      <c r="A10" t="s">
        <v>32</v>
      </c>
      <c r="B10">
        <v>16</v>
      </c>
    </row>
    <row r="11" spans="1:2" ht="15.6" x14ac:dyDescent="0.35">
      <c r="A11" t="s">
        <v>35</v>
      </c>
      <c r="B11">
        <v>32</v>
      </c>
    </row>
    <row r="12" spans="1:2" ht="15.6" x14ac:dyDescent="0.35">
      <c r="A12" t="s">
        <v>36</v>
      </c>
      <c r="B12">
        <v>28</v>
      </c>
    </row>
    <row r="13" spans="1:2" x14ac:dyDescent="0.3">
      <c r="A13" t="s">
        <v>33</v>
      </c>
      <c r="B13">
        <v>12</v>
      </c>
    </row>
    <row r="14" spans="1:2" x14ac:dyDescent="0.3">
      <c r="A14" t="s">
        <v>34</v>
      </c>
      <c r="B14">
        <v>28</v>
      </c>
    </row>
    <row r="15" spans="1:2" ht="15.6" x14ac:dyDescent="0.35">
      <c r="A15" t="s">
        <v>37</v>
      </c>
      <c r="B15">
        <v>44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1"/>
  <sheetViews>
    <sheetView zoomScale="70" zoomScaleNormal="70" workbookViewId="0">
      <selection activeCell="E15" sqref="E15"/>
    </sheetView>
  </sheetViews>
  <sheetFormatPr baseColWidth="10" defaultRowHeight="14.4" x14ac:dyDescent="0.3"/>
  <cols>
    <col min="1" max="1" width="18" customWidth="1"/>
    <col min="2" max="2" width="17" customWidth="1"/>
    <col min="3" max="3" width="18.5546875" style="2" customWidth="1"/>
    <col min="4" max="4" width="22.109375" customWidth="1"/>
    <col min="5" max="5" width="19" customWidth="1"/>
    <col min="8" max="8" width="14.5546875" style="2" customWidth="1"/>
    <col min="9" max="9" width="14.5546875" customWidth="1"/>
    <col min="10" max="10" width="17.109375" bestFit="1" customWidth="1"/>
    <col min="11" max="11" width="14.5546875" customWidth="1"/>
    <col min="12" max="12" width="15.44140625" bestFit="1" customWidth="1"/>
    <col min="13" max="13" width="15.6640625" bestFit="1" customWidth="1"/>
    <col min="14" max="15" width="14.5546875" customWidth="1"/>
    <col min="16" max="16" width="14.109375" customWidth="1"/>
    <col min="17" max="17" width="27.88671875" bestFit="1" customWidth="1"/>
    <col min="18" max="18" width="21.88671875" customWidth="1"/>
  </cols>
  <sheetData>
    <row r="1" spans="1:19" x14ac:dyDescent="0.3">
      <c r="A1" s="75" t="s">
        <v>84</v>
      </c>
      <c r="B1" s="75"/>
      <c r="C1" s="75"/>
      <c r="D1" s="75"/>
      <c r="E1" s="23"/>
    </row>
    <row r="2" spans="1:19" x14ac:dyDescent="0.3">
      <c r="H2" s="12" t="s">
        <v>44</v>
      </c>
      <c r="I2" s="12"/>
      <c r="J2" s="12"/>
      <c r="K2" s="12"/>
      <c r="L2" s="12"/>
      <c r="M2" s="12"/>
      <c r="N2" s="12"/>
      <c r="O2" s="12"/>
    </row>
    <row r="3" spans="1:19" x14ac:dyDescent="0.3">
      <c r="A3" s="8" t="s">
        <v>0</v>
      </c>
      <c r="B3" s="3"/>
      <c r="C3" s="10"/>
      <c r="D3" s="3"/>
      <c r="E3" s="3"/>
      <c r="H3" s="17"/>
      <c r="I3" s="60" t="s">
        <v>46</v>
      </c>
      <c r="J3" s="60" t="s">
        <v>47</v>
      </c>
      <c r="K3" s="60" t="s">
        <v>48</v>
      </c>
      <c r="L3" s="60" t="s">
        <v>49</v>
      </c>
      <c r="M3" s="60" t="s">
        <v>50</v>
      </c>
      <c r="N3" s="60" t="s">
        <v>51</v>
      </c>
      <c r="O3" s="60" t="s">
        <v>52</v>
      </c>
    </row>
    <row r="4" spans="1:19" x14ac:dyDescent="0.3">
      <c r="A4" s="5" t="s">
        <v>1</v>
      </c>
      <c r="B4" s="2" t="s">
        <v>3</v>
      </c>
      <c r="C4" s="2" t="s">
        <v>12</v>
      </c>
      <c r="D4" s="2" t="s">
        <v>23</v>
      </c>
      <c r="E4" s="2"/>
      <c r="H4" s="17" t="s">
        <v>21</v>
      </c>
      <c r="I4">
        <f>B5*112/160</f>
        <v>66.080000000000013</v>
      </c>
      <c r="O4" s="15">
        <v>95.7</v>
      </c>
    </row>
    <row r="5" spans="1:19" ht="15.6" x14ac:dyDescent="0.35">
      <c r="A5" t="s">
        <v>7</v>
      </c>
      <c r="B5" s="6">
        <v>94.4</v>
      </c>
      <c r="C5" s="2">
        <f>$B$9*B5/100</f>
        <v>1367.1428571428569</v>
      </c>
      <c r="D5">
        <f>C5/160</f>
        <v>8.5446428571428559</v>
      </c>
      <c r="H5" s="17" t="s">
        <v>22</v>
      </c>
      <c r="I5" s="15">
        <f>2.5*28/60</f>
        <v>1.1666666666666667</v>
      </c>
      <c r="J5" s="14"/>
      <c r="K5" s="15">
        <f>B18*28/60</f>
        <v>6.0666666666666664</v>
      </c>
      <c r="N5" s="15">
        <f>B40*28/60</f>
        <v>23.333333333333332</v>
      </c>
      <c r="O5" s="15">
        <v>0.3</v>
      </c>
    </row>
    <row r="6" spans="1:19" ht="15.6" x14ac:dyDescent="0.35">
      <c r="A6" t="s">
        <v>6</v>
      </c>
      <c r="B6" s="6">
        <v>2.5</v>
      </c>
      <c r="C6" s="2">
        <f t="shared" ref="C6:C7" si="0">$B$9*B6/100</f>
        <v>36.206113801452773</v>
      </c>
      <c r="D6">
        <f>C6/60</f>
        <v>0.60343523002421284</v>
      </c>
      <c r="H6" s="17" t="s">
        <v>38</v>
      </c>
      <c r="I6" s="15">
        <f>3.1*40/56</f>
        <v>2.2142857142857144</v>
      </c>
      <c r="J6" s="15">
        <f>100*40/100</f>
        <v>40</v>
      </c>
      <c r="N6" s="15">
        <f>B41*40/56</f>
        <v>35.714285714285715</v>
      </c>
    </row>
    <row r="7" spans="1:19" x14ac:dyDescent="0.3">
      <c r="A7" t="s">
        <v>4</v>
      </c>
      <c r="B7" s="6">
        <v>3.1</v>
      </c>
      <c r="C7" s="2">
        <f t="shared" si="0"/>
        <v>44.895581113801434</v>
      </c>
      <c r="D7">
        <f>C7/56</f>
        <v>0.80170680560359708</v>
      </c>
      <c r="H7" s="17" t="s">
        <v>10</v>
      </c>
      <c r="J7" s="15">
        <v>12</v>
      </c>
      <c r="K7" s="15">
        <v>87</v>
      </c>
      <c r="M7" s="22">
        <f>M18/M21*100</f>
        <v>16.959728687521906</v>
      </c>
      <c r="O7" s="15">
        <v>4</v>
      </c>
    </row>
    <row r="8" spans="1:19" x14ac:dyDescent="0.3">
      <c r="B8" s="2"/>
      <c r="H8" s="17" t="s">
        <v>39</v>
      </c>
      <c r="I8" s="15">
        <f>100-I4-I5-I6</f>
        <v>30.539047619047608</v>
      </c>
      <c r="J8" s="15">
        <f>100*48/100</f>
        <v>48</v>
      </c>
      <c r="K8" s="15">
        <f>100-K5-K7</f>
        <v>6.9333333333333371</v>
      </c>
      <c r="L8" s="15">
        <f>100-L9</f>
        <v>23.300970873786412</v>
      </c>
      <c r="M8" s="22">
        <f>M19/M21*100</f>
        <v>33.52381710967132</v>
      </c>
      <c r="N8" s="15">
        <f>100-N6-N5</f>
        <v>40.952380952380949</v>
      </c>
    </row>
    <row r="9" spans="1:19" x14ac:dyDescent="0.3">
      <c r="A9" t="s">
        <v>12</v>
      </c>
      <c r="B9" s="65">
        <f>I22</f>
        <v>1448.2445520581109</v>
      </c>
      <c r="H9" s="18" t="s">
        <v>40</v>
      </c>
      <c r="I9" s="16"/>
      <c r="J9" s="16"/>
      <c r="K9" s="16"/>
      <c r="L9" s="19">
        <f>(B23*28)/(B23*28+B24*32)*100</f>
        <v>76.699029126213588</v>
      </c>
      <c r="M9" s="19">
        <f>100-M7-M8</f>
        <v>49.516454202806777</v>
      </c>
      <c r="N9" s="16"/>
      <c r="O9" s="16"/>
    </row>
    <row r="10" spans="1:19" x14ac:dyDescent="0.3">
      <c r="B10" s="2"/>
      <c r="H10" s="2" t="s">
        <v>45</v>
      </c>
      <c r="I10" s="15">
        <f t="shared" ref="I10:O10" si="1">SUM(I4:I9)</f>
        <v>100</v>
      </c>
      <c r="J10" s="15">
        <f t="shared" si="1"/>
        <v>100</v>
      </c>
      <c r="K10" s="15">
        <f t="shared" si="1"/>
        <v>100</v>
      </c>
      <c r="L10" s="15">
        <f t="shared" si="1"/>
        <v>100</v>
      </c>
      <c r="M10" s="15">
        <f t="shared" si="1"/>
        <v>100</v>
      </c>
      <c r="N10" s="15">
        <f t="shared" si="1"/>
        <v>100</v>
      </c>
      <c r="O10" s="15">
        <f t="shared" si="1"/>
        <v>100</v>
      </c>
    </row>
    <row r="11" spans="1:19" x14ac:dyDescent="0.3">
      <c r="A11" s="5" t="s">
        <v>5</v>
      </c>
      <c r="B11" s="2" t="s">
        <v>3</v>
      </c>
      <c r="C11" s="2" t="s">
        <v>12</v>
      </c>
      <c r="D11" s="2" t="s">
        <v>23</v>
      </c>
      <c r="E11" s="2"/>
    </row>
    <row r="12" spans="1:19" ht="15.6" x14ac:dyDescent="0.35">
      <c r="A12" t="s">
        <v>8</v>
      </c>
      <c r="B12" s="7">
        <v>100</v>
      </c>
    </row>
    <row r="13" spans="1:19" x14ac:dyDescent="0.3">
      <c r="B13" s="2"/>
      <c r="H13" s="12" t="s">
        <v>53</v>
      </c>
      <c r="I13" s="12"/>
      <c r="J13" s="12"/>
      <c r="K13" s="12"/>
      <c r="L13" s="12"/>
      <c r="M13" s="12"/>
      <c r="N13" s="12"/>
      <c r="O13" s="12"/>
    </row>
    <row r="14" spans="1:19" x14ac:dyDescent="0.3">
      <c r="A14" t="s">
        <v>12</v>
      </c>
      <c r="B14" s="65">
        <f>J21</f>
        <v>89.08</v>
      </c>
      <c r="H14" s="17"/>
      <c r="I14" s="60" t="s">
        <v>46</v>
      </c>
      <c r="J14" s="60" t="s">
        <v>47</v>
      </c>
      <c r="K14" s="60" t="s">
        <v>48</v>
      </c>
      <c r="L14" s="60" t="s">
        <v>49</v>
      </c>
      <c r="M14" s="60" t="s">
        <v>50</v>
      </c>
      <c r="N14" s="60" t="s">
        <v>51</v>
      </c>
      <c r="O14" s="60" t="s">
        <v>52</v>
      </c>
      <c r="P14" s="4" t="s">
        <v>81</v>
      </c>
    </row>
    <row r="15" spans="1:19" x14ac:dyDescent="0.3">
      <c r="H15" s="17" t="s">
        <v>21</v>
      </c>
      <c r="I15" s="62">
        <f>$I$21*I4/100</f>
        <v>956.99999999999989</v>
      </c>
      <c r="K15" s="15"/>
      <c r="L15" s="21"/>
      <c r="N15" s="15"/>
      <c r="O15" s="15">
        <v>957</v>
      </c>
      <c r="P15" s="37"/>
      <c r="Q15" t="s">
        <v>57</v>
      </c>
      <c r="R15" s="61">
        <f>O15/(I4/100)</f>
        <v>1448.2445520581109</v>
      </c>
      <c r="S15" t="s">
        <v>58</v>
      </c>
    </row>
    <row r="16" spans="1:19" x14ac:dyDescent="0.3">
      <c r="A16" s="5" t="s">
        <v>9</v>
      </c>
      <c r="B16" s="2" t="s">
        <v>3</v>
      </c>
      <c r="C16" s="2" t="s">
        <v>12</v>
      </c>
      <c r="D16" s="2" t="s">
        <v>23</v>
      </c>
      <c r="E16" s="2"/>
      <c r="H16" s="17" t="s">
        <v>22</v>
      </c>
      <c r="I16" s="15">
        <f>$I$21*I5/100</f>
        <v>16.896186440677962</v>
      </c>
      <c r="K16" s="15">
        <f>$K$21*K5/100</f>
        <v>30.333333333333329</v>
      </c>
      <c r="N16" s="15">
        <f>$N$21*N5/100</f>
        <v>44.230666666666664</v>
      </c>
      <c r="O16" s="15">
        <v>3</v>
      </c>
      <c r="P16" s="37"/>
      <c r="Q16" t="s">
        <v>56</v>
      </c>
      <c r="R16" s="61">
        <f>(I5*I21+K5*B20-O5*O21)/N5</f>
        <v>189.55508474576271</v>
      </c>
      <c r="S16" t="s">
        <v>59</v>
      </c>
    </row>
    <row r="17" spans="1:19" x14ac:dyDescent="0.3">
      <c r="A17" t="s">
        <v>10</v>
      </c>
      <c r="B17" s="7">
        <v>87</v>
      </c>
      <c r="H17" s="17" t="s">
        <v>38</v>
      </c>
      <c r="I17" s="15">
        <f>$I$21*I6/100</f>
        <v>32.068272224143882</v>
      </c>
      <c r="J17" s="15">
        <f>$J$21*J6/100</f>
        <v>35.631999999999998</v>
      </c>
      <c r="K17" s="15"/>
      <c r="N17" s="15">
        <f>$N$21*N6/100</f>
        <v>67.7</v>
      </c>
      <c r="O17" s="15"/>
      <c r="P17" s="37"/>
      <c r="Q17" t="s">
        <v>60</v>
      </c>
      <c r="R17" s="61">
        <f>(N17-I17)/(J6/100)</f>
        <v>89.079319439640301</v>
      </c>
      <c r="S17" t="s">
        <v>61</v>
      </c>
    </row>
    <row r="18" spans="1:19" ht="15.6" x14ac:dyDescent="0.35">
      <c r="A18" t="s">
        <v>11</v>
      </c>
      <c r="B18" s="7">
        <v>13</v>
      </c>
      <c r="H18" s="17" t="s">
        <v>10</v>
      </c>
      <c r="J18" s="15">
        <f>$J$21*J7/100</f>
        <v>10.6896</v>
      </c>
      <c r="K18" s="15">
        <f>$K$21*K7/100</f>
        <v>435</v>
      </c>
      <c r="M18" s="22">
        <f>R18</f>
        <v>405.68959999999998</v>
      </c>
      <c r="N18" s="15"/>
      <c r="O18" s="15">
        <v>40</v>
      </c>
      <c r="P18" s="37"/>
      <c r="Q18" t="s">
        <v>62</v>
      </c>
      <c r="R18" s="61">
        <f>J18+K18-O18</f>
        <v>405.68959999999998</v>
      </c>
      <c r="S18" t="s">
        <v>63</v>
      </c>
    </row>
    <row r="19" spans="1:19" x14ac:dyDescent="0.3">
      <c r="B19" s="6"/>
      <c r="H19" s="17" t="s">
        <v>39</v>
      </c>
      <c r="I19" s="15">
        <f>$I$21*I8/100</f>
        <v>442.28009339328923</v>
      </c>
      <c r="J19" s="15">
        <f>$J$21*J8/100</f>
        <v>42.758400000000002</v>
      </c>
      <c r="K19" s="15">
        <f>$K$21*K8/100</f>
        <v>34.666666666666686</v>
      </c>
      <c r="L19" s="15">
        <f>D24*32</f>
        <v>359.83935742971886</v>
      </c>
      <c r="M19" s="22">
        <f>R19</f>
        <v>801.91518415634141</v>
      </c>
      <c r="N19" s="15">
        <f>$N$21*N8/100</f>
        <v>77.629333333333321</v>
      </c>
      <c r="O19" s="15"/>
      <c r="P19" s="37"/>
      <c r="Q19" t="s">
        <v>141</v>
      </c>
      <c r="R19" s="61">
        <f>I19+J19+K19+L19-N19</f>
        <v>801.91518415634141</v>
      </c>
      <c r="S19" t="s">
        <v>64</v>
      </c>
    </row>
    <row r="20" spans="1:19" x14ac:dyDescent="0.3">
      <c r="A20" t="s">
        <v>12</v>
      </c>
      <c r="B20" s="6">
        <v>500</v>
      </c>
      <c r="H20" s="18" t="s">
        <v>40</v>
      </c>
      <c r="I20" s="16"/>
      <c r="J20" s="16"/>
      <c r="K20" s="19"/>
      <c r="L20" s="19">
        <f>D23*28</f>
        <v>1184.471218206158</v>
      </c>
      <c r="M20" s="19">
        <f>L20</f>
        <v>1184.471218206158</v>
      </c>
      <c r="N20" s="19"/>
      <c r="O20" s="19"/>
      <c r="P20" s="37"/>
    </row>
    <row r="21" spans="1:19" x14ac:dyDescent="0.3">
      <c r="H21" s="2" t="s">
        <v>45</v>
      </c>
      <c r="I21" s="15">
        <f>R15</f>
        <v>1448.2445520581109</v>
      </c>
      <c r="J21" s="15">
        <v>89.08</v>
      </c>
      <c r="K21" s="15">
        <v>500</v>
      </c>
      <c r="L21" s="15">
        <f>SUM(L15:L20)</f>
        <v>1544.3105756358768</v>
      </c>
      <c r="M21" s="15">
        <f>SUM(M15:M20)</f>
        <v>2392.0760023624994</v>
      </c>
      <c r="N21" s="15">
        <v>189.56</v>
      </c>
      <c r="O21" s="15">
        <f>SUM(O15:O20)</f>
        <v>1000</v>
      </c>
    </row>
    <row r="22" spans="1:19" x14ac:dyDescent="0.3">
      <c r="A22" s="5" t="s">
        <v>13</v>
      </c>
      <c r="B22" s="2" t="s">
        <v>3</v>
      </c>
      <c r="C22" s="2" t="s">
        <v>14</v>
      </c>
      <c r="D22" s="2" t="s">
        <v>23</v>
      </c>
      <c r="E22" s="2"/>
      <c r="I22" s="15">
        <f>SUM(I15:I20)</f>
        <v>1448.2445520581109</v>
      </c>
      <c r="J22">
        <f>SUM(J15:J20)</f>
        <v>89.08</v>
      </c>
      <c r="K22" s="15">
        <f>SUM(K15:K20)</f>
        <v>500</v>
      </c>
      <c r="N22" s="15">
        <f>SUM(N15:N20)</f>
        <v>189.56</v>
      </c>
    </row>
    <row r="23" spans="1:19" ht="15.6" x14ac:dyDescent="0.35">
      <c r="A23" t="s">
        <v>16</v>
      </c>
      <c r="B23" s="7">
        <v>79</v>
      </c>
      <c r="C23" s="2">
        <f>B23/100*B26</f>
        <v>948</v>
      </c>
      <c r="D23" s="15">
        <f>C23/22.41</f>
        <v>42.302543507362785</v>
      </c>
    </row>
    <row r="24" spans="1:19" ht="15.6" x14ac:dyDescent="0.35">
      <c r="A24" t="s">
        <v>15</v>
      </c>
      <c r="B24" s="7">
        <v>21</v>
      </c>
      <c r="C24" s="2">
        <f>B24/100*B26</f>
        <v>252</v>
      </c>
      <c r="D24" s="14">
        <f>C24/22.41</f>
        <v>11.244979919678714</v>
      </c>
    </row>
    <row r="25" spans="1:19" x14ac:dyDescent="0.3">
      <c r="B25" s="2"/>
    </row>
    <row r="26" spans="1:19" x14ac:dyDescent="0.3">
      <c r="A26" t="s">
        <v>14</v>
      </c>
      <c r="B26" s="6">
        <v>1200</v>
      </c>
      <c r="D26" s="63"/>
    </row>
    <row r="30" spans="1:19" ht="15" thickBot="1" x14ac:dyDescent="0.35">
      <c r="A30" s="8" t="s">
        <v>17</v>
      </c>
      <c r="B30" s="3"/>
      <c r="C30" s="10"/>
      <c r="D30" s="3"/>
      <c r="E30" s="3"/>
    </row>
    <row r="31" spans="1:19" x14ac:dyDescent="0.3">
      <c r="B31" s="2"/>
      <c r="F31" s="76" t="s">
        <v>65</v>
      </c>
      <c r="G31" s="77"/>
      <c r="H31" s="77"/>
      <c r="I31" s="78"/>
    </row>
    <row r="32" spans="1:19" x14ac:dyDescent="0.3">
      <c r="A32" s="5" t="s">
        <v>42</v>
      </c>
      <c r="B32" s="2" t="s">
        <v>138</v>
      </c>
      <c r="C32" s="2" t="s">
        <v>14</v>
      </c>
      <c r="D32" s="2" t="s">
        <v>23</v>
      </c>
      <c r="E32" s="2" t="s">
        <v>12</v>
      </c>
      <c r="F32" s="24"/>
      <c r="G32" s="2" t="s">
        <v>23</v>
      </c>
      <c r="I32" s="25"/>
    </row>
    <row r="33" spans="1:9" ht="15.6" x14ac:dyDescent="0.35">
      <c r="A33" t="s">
        <v>16</v>
      </c>
      <c r="B33" s="66">
        <f>D33/D37*100</f>
        <v>55.513295961407728</v>
      </c>
      <c r="C33" s="62">
        <f>D33*22.41</f>
        <v>948</v>
      </c>
      <c r="D33" s="61">
        <f>G33</f>
        <v>42.302543507362785</v>
      </c>
      <c r="E33" s="63">
        <f>D33*28</f>
        <v>1184.471218206158</v>
      </c>
      <c r="F33" s="26" t="s">
        <v>16</v>
      </c>
      <c r="G33" s="15">
        <f>M20/28</f>
        <v>42.302543507362785</v>
      </c>
      <c r="I33" s="25"/>
    </row>
    <row r="34" spans="1:9" ht="15.6" x14ac:dyDescent="0.35">
      <c r="A34" t="s">
        <v>54</v>
      </c>
      <c r="B34" s="66">
        <f>D34/D37*100</f>
        <v>21.52159133430423</v>
      </c>
      <c r="C34" s="62">
        <f>D34*22.41</f>
        <v>367.52399999999994</v>
      </c>
      <c r="D34" s="61">
        <v>16.399999999999999</v>
      </c>
      <c r="E34" s="63">
        <f>D34*44</f>
        <v>721.59999999999991</v>
      </c>
      <c r="F34" s="26" t="s">
        <v>66</v>
      </c>
      <c r="G34" s="15">
        <f>M18/12</f>
        <v>33.807466666666663</v>
      </c>
      <c r="I34" s="25"/>
    </row>
    <row r="35" spans="1:9" ht="15" thickBot="1" x14ac:dyDescent="0.35">
      <c r="A35" t="s">
        <v>55</v>
      </c>
      <c r="B35" s="66">
        <f>D35/D37*100</f>
        <v>22.965112704288053</v>
      </c>
      <c r="C35" s="62">
        <f>D35*22.41</f>
        <v>392.17500000000001</v>
      </c>
      <c r="D35" s="60">
        <v>17.5</v>
      </c>
      <c r="E35" s="4">
        <f>D35*28</f>
        <v>490</v>
      </c>
      <c r="F35" s="27" t="s">
        <v>39</v>
      </c>
      <c r="G35" s="64">
        <f>M19/16</f>
        <v>50.119699009771338</v>
      </c>
      <c r="H35" s="79" t="s">
        <v>67</v>
      </c>
      <c r="I35" s="80"/>
    </row>
    <row r="36" spans="1:9" x14ac:dyDescent="0.3">
      <c r="B36" s="2"/>
      <c r="H36" s="2" t="s">
        <v>68</v>
      </c>
      <c r="I36" s="63">
        <f>B34/(B34+B35)*100</f>
        <v>48.377581120943951</v>
      </c>
    </row>
    <row r="37" spans="1:9" x14ac:dyDescent="0.3">
      <c r="A37" t="s">
        <v>14</v>
      </c>
      <c r="B37" s="67">
        <f>SUM(C33:C35)</f>
        <v>1707.6989999999998</v>
      </c>
      <c r="D37" s="15">
        <f>SUM(D33:D35)</f>
        <v>76.202543507362776</v>
      </c>
    </row>
    <row r="38" spans="1:9" x14ac:dyDescent="0.3">
      <c r="B38" s="2"/>
    </row>
    <row r="39" spans="1:9" x14ac:dyDescent="0.3">
      <c r="A39" s="5" t="s">
        <v>19</v>
      </c>
      <c r="B39" s="2" t="s">
        <v>3</v>
      </c>
      <c r="C39" s="2" t="s">
        <v>12</v>
      </c>
      <c r="D39" s="2" t="s">
        <v>23</v>
      </c>
      <c r="E39" s="2"/>
    </row>
    <row r="40" spans="1:9" x14ac:dyDescent="0.3">
      <c r="A40" t="s">
        <v>2</v>
      </c>
      <c r="B40">
        <v>50</v>
      </c>
    </row>
    <row r="41" spans="1:9" ht="15.6" x14ac:dyDescent="0.35">
      <c r="A41" t="s">
        <v>6</v>
      </c>
      <c r="B41">
        <v>50</v>
      </c>
    </row>
    <row r="42" spans="1:9" x14ac:dyDescent="0.3">
      <c r="B42" s="2"/>
    </row>
    <row r="43" spans="1:9" x14ac:dyDescent="0.3">
      <c r="A43" t="s">
        <v>20</v>
      </c>
      <c r="B43" s="6">
        <v>1</v>
      </c>
    </row>
    <row r="44" spans="1:9" x14ac:dyDescent="0.3">
      <c r="A44" t="s">
        <v>12</v>
      </c>
      <c r="B44" s="65">
        <f>N21</f>
        <v>189.56</v>
      </c>
    </row>
    <row r="46" spans="1:9" x14ac:dyDescent="0.3">
      <c r="A46" s="5" t="s">
        <v>18</v>
      </c>
      <c r="B46" s="2" t="s">
        <v>3</v>
      </c>
      <c r="C46" s="2" t="s">
        <v>12</v>
      </c>
      <c r="D46" s="2" t="s">
        <v>23</v>
      </c>
      <c r="E46" s="2"/>
    </row>
    <row r="47" spans="1:9" x14ac:dyDescent="0.3">
      <c r="A47" t="s">
        <v>21</v>
      </c>
      <c r="B47" s="9">
        <v>95.7</v>
      </c>
    </row>
    <row r="48" spans="1:9" x14ac:dyDescent="0.3">
      <c r="A48" t="s">
        <v>22</v>
      </c>
      <c r="B48" s="6">
        <v>0.3</v>
      </c>
    </row>
    <row r="49" spans="1:2" x14ac:dyDescent="0.3">
      <c r="A49" t="s">
        <v>10</v>
      </c>
      <c r="B49" s="6">
        <v>4</v>
      </c>
    </row>
    <row r="50" spans="1:2" x14ac:dyDescent="0.3">
      <c r="B50" s="2"/>
    </row>
    <row r="51" spans="1:2" x14ac:dyDescent="0.3">
      <c r="A51" t="s">
        <v>12</v>
      </c>
      <c r="B51" s="6">
        <v>1000</v>
      </c>
    </row>
  </sheetData>
  <mergeCells count="3">
    <mergeCell ref="A1:D1"/>
    <mergeCell ref="F31:I31"/>
    <mergeCell ref="H35:I35"/>
  </mergeCells>
  <pageMargins left="0.7" right="0.7" top="0.78740157499999996" bottom="0.78740157499999996" header="0.3" footer="0.3"/>
  <pageSetup paperSize="8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5"/>
  <sheetViews>
    <sheetView tabSelected="1" zoomScale="85" zoomScaleNormal="85" workbookViewId="0">
      <selection activeCell="G29" sqref="G29"/>
    </sheetView>
  </sheetViews>
  <sheetFormatPr baseColWidth="10" defaultRowHeight="14.4" x14ac:dyDescent="0.3"/>
  <cols>
    <col min="1" max="1" width="14.33203125" customWidth="1"/>
    <col min="2" max="2" width="14.44140625" bestFit="1" customWidth="1"/>
    <col min="4" max="4" width="13.33203125" customWidth="1"/>
    <col min="5" max="5" width="16.6640625" bestFit="1" customWidth="1"/>
    <col min="8" max="8" width="20.109375" customWidth="1"/>
  </cols>
  <sheetData>
    <row r="1" spans="1:7" x14ac:dyDescent="0.3">
      <c r="A1" s="75" t="s">
        <v>85</v>
      </c>
      <c r="B1" s="75"/>
      <c r="C1" s="75"/>
      <c r="D1" s="75"/>
      <c r="E1" s="75"/>
    </row>
    <row r="3" spans="1:7" x14ac:dyDescent="0.3">
      <c r="A3" s="81" t="s">
        <v>89</v>
      </c>
      <c r="B3" s="81"/>
      <c r="C3" s="81"/>
      <c r="D3" s="81"/>
      <c r="E3" s="81"/>
    </row>
    <row r="4" spans="1:7" x14ac:dyDescent="0.3">
      <c r="B4" s="29" t="s">
        <v>69</v>
      </c>
      <c r="E4" s="15"/>
    </row>
    <row r="5" spans="1:7" ht="15.6" x14ac:dyDescent="0.35">
      <c r="A5" s="29" t="s">
        <v>101</v>
      </c>
      <c r="B5" s="15">
        <f>2*Massenbilanz!D24</f>
        <v>22.489959839357429</v>
      </c>
      <c r="E5" s="15"/>
    </row>
    <row r="6" spans="1:7" ht="15.6" x14ac:dyDescent="0.35">
      <c r="A6" s="29" t="s">
        <v>70</v>
      </c>
      <c r="B6" s="15">
        <f>3/28*2</f>
        <v>0.21428571428571427</v>
      </c>
      <c r="E6" s="30"/>
      <c r="F6" s="15"/>
    </row>
    <row r="7" spans="1:7" x14ac:dyDescent="0.3">
      <c r="B7" s="14"/>
      <c r="E7" s="15"/>
      <c r="F7" s="20"/>
    </row>
    <row r="8" spans="1:7" x14ac:dyDescent="0.3">
      <c r="A8" s="29" t="s">
        <v>86</v>
      </c>
      <c r="B8" s="15">
        <f>B5+B6</f>
        <v>22.704245553643144</v>
      </c>
      <c r="C8" s="32" t="s">
        <v>87</v>
      </c>
      <c r="E8" s="15"/>
      <c r="F8" s="20"/>
      <c r="G8" s="20"/>
    </row>
    <row r="9" spans="1:7" x14ac:dyDescent="0.3">
      <c r="A9" s="29" t="s">
        <v>71</v>
      </c>
      <c r="B9" s="14"/>
      <c r="E9" s="30"/>
      <c r="F9" s="20"/>
      <c r="G9" s="20"/>
    </row>
    <row r="10" spans="1:7" x14ac:dyDescent="0.3">
      <c r="E10" s="15"/>
      <c r="F10" s="20"/>
      <c r="G10" s="20"/>
    </row>
    <row r="11" spans="1:7" x14ac:dyDescent="0.3">
      <c r="A11" s="29" t="s">
        <v>21</v>
      </c>
      <c r="B11" s="15">
        <f>Massenbilanz!I15/'chemische Grundlagen'!B3</f>
        <v>17.089285714285712</v>
      </c>
      <c r="E11" s="15"/>
    </row>
    <row r="12" spans="1:7" x14ac:dyDescent="0.3">
      <c r="A12" s="29" t="s">
        <v>10</v>
      </c>
      <c r="B12" s="15">
        <f>(Massenbilanz!K18-Massenbilanz!O18)/'chemische Grundlagen'!B13</f>
        <v>32.916666666666664</v>
      </c>
      <c r="C12" s="32" t="s">
        <v>88</v>
      </c>
      <c r="F12" s="39">
        <v>1</v>
      </c>
      <c r="G12" s="40">
        <v>-2</v>
      </c>
    </row>
    <row r="13" spans="1:7" x14ac:dyDescent="0.3">
      <c r="F13" s="39">
        <v>1</v>
      </c>
      <c r="G13" s="39">
        <v>1.5</v>
      </c>
    </row>
    <row r="14" spans="1:7" x14ac:dyDescent="0.3">
      <c r="A14" s="31" t="s">
        <v>82</v>
      </c>
      <c r="B14" s="15">
        <f>-B8/B11</f>
        <v>-1.3285660930031518</v>
      </c>
      <c r="C14" s="32" t="s">
        <v>72</v>
      </c>
      <c r="D14" s="33"/>
      <c r="E14" s="33"/>
    </row>
    <row r="15" spans="1:7" x14ac:dyDescent="0.3">
      <c r="A15" s="31" t="s">
        <v>83</v>
      </c>
      <c r="B15" s="15">
        <f>B12/B11</f>
        <v>1.9261581330546849</v>
      </c>
      <c r="C15" s="32" t="s">
        <v>73</v>
      </c>
      <c r="D15" s="33"/>
      <c r="E15" s="33"/>
    </row>
    <row r="16" spans="1:7" x14ac:dyDescent="0.3">
      <c r="B16" s="15"/>
      <c r="C16" s="33"/>
      <c r="D16" s="33"/>
      <c r="E16" s="33"/>
    </row>
    <row r="18" spans="1:10" x14ac:dyDescent="0.3">
      <c r="B18" s="15"/>
    </row>
    <row r="19" spans="1:10" x14ac:dyDescent="0.3">
      <c r="B19" s="15"/>
    </row>
    <row r="20" spans="1:10" x14ac:dyDescent="0.3">
      <c r="A20" s="81" t="s">
        <v>90</v>
      </c>
      <c r="B20" s="81"/>
      <c r="C20" s="81"/>
      <c r="D20" s="81"/>
      <c r="E20" s="81"/>
    </row>
    <row r="21" spans="1:10" x14ac:dyDescent="0.3">
      <c r="A21" s="29" t="s">
        <v>77</v>
      </c>
      <c r="B21" s="29"/>
      <c r="C21" s="29" t="s">
        <v>78</v>
      </c>
      <c r="D21" s="29" t="s">
        <v>91</v>
      </c>
      <c r="E21" s="29"/>
    </row>
    <row r="22" spans="1:10" ht="15" thickBot="1" x14ac:dyDescent="0.35">
      <c r="A22" s="15"/>
      <c r="B22" s="38" t="s">
        <v>80</v>
      </c>
      <c r="C22" s="38" t="s">
        <v>82</v>
      </c>
    </row>
    <row r="23" spans="1:10" x14ac:dyDescent="0.3">
      <c r="B23" s="41">
        <v>0</v>
      </c>
      <c r="C23" s="57">
        <f>$B$15*B23+B14</f>
        <v>-1.3285660930031518</v>
      </c>
      <c r="D23" s="32" t="s">
        <v>92</v>
      </c>
      <c r="E23" s="33"/>
    </row>
    <row r="24" spans="1:10" x14ac:dyDescent="0.3">
      <c r="B24" s="24">
        <v>1</v>
      </c>
      <c r="C24" s="58">
        <f>$B$15*B24+B14</f>
        <v>0.5975920400515331</v>
      </c>
      <c r="D24" s="32"/>
      <c r="E24" s="33"/>
    </row>
    <row r="25" spans="1:10" ht="15" thickBot="1" x14ac:dyDescent="0.35">
      <c r="B25" s="45">
        <v>2</v>
      </c>
      <c r="C25" s="59">
        <f>$B$15*B25+B14</f>
        <v>2.523750173106218</v>
      </c>
    </row>
    <row r="27" spans="1:10" x14ac:dyDescent="0.3">
      <c r="A27" s="29" t="s">
        <v>74</v>
      </c>
      <c r="B27" s="15">
        <f>(1.5-C24)/1.5*100</f>
        <v>60.160530663231128</v>
      </c>
      <c r="C27" s="34" t="s">
        <v>75</v>
      </c>
      <c r="E27" s="32" t="s">
        <v>93</v>
      </c>
    </row>
    <row r="28" spans="1:10" x14ac:dyDescent="0.3">
      <c r="B28" s="15">
        <f>100-B27</f>
        <v>39.839469336768872</v>
      </c>
      <c r="C28" s="34" t="s">
        <v>76</v>
      </c>
    </row>
    <row r="29" spans="1:10" x14ac:dyDescent="0.3">
      <c r="J29" s="15"/>
    </row>
    <row r="30" spans="1:10" x14ac:dyDescent="0.3">
      <c r="A30" s="81" t="s">
        <v>94</v>
      </c>
      <c r="B30" s="81"/>
      <c r="C30" s="81"/>
      <c r="D30" s="81"/>
      <c r="E30" s="81"/>
      <c r="J30" s="15"/>
    </row>
    <row r="31" spans="1:10" x14ac:dyDescent="0.3">
      <c r="J31" s="15"/>
    </row>
    <row r="32" spans="1:10" x14ac:dyDescent="0.3">
      <c r="B32" t="s">
        <v>80</v>
      </c>
      <c r="C32" s="15">
        <f>(1.5-B14)/B15</f>
        <v>1.4685014924072419</v>
      </c>
      <c r="E32" s="32" t="s">
        <v>95</v>
      </c>
      <c r="J32" s="15"/>
    </row>
    <row r="33" spans="1:12" x14ac:dyDescent="0.3">
      <c r="B33" t="s">
        <v>96</v>
      </c>
      <c r="C33" s="22">
        <f>(C32-1)*100</f>
        <v>46.850149240724193</v>
      </c>
    </row>
    <row r="34" spans="1:12" x14ac:dyDescent="0.3">
      <c r="B34" t="s">
        <v>97</v>
      </c>
      <c r="C34" s="22">
        <v>48.38</v>
      </c>
      <c r="E34" s="32" t="s">
        <v>98</v>
      </c>
    </row>
    <row r="36" spans="1:12" x14ac:dyDescent="0.3">
      <c r="A36" s="33"/>
    </row>
    <row r="37" spans="1:12" ht="15" thickBot="1" x14ac:dyDescent="0.35">
      <c r="A37" s="81" t="s">
        <v>99</v>
      </c>
      <c r="B37" s="81"/>
      <c r="C37" s="81"/>
      <c r="D37" s="81"/>
      <c r="E37" s="81"/>
      <c r="F37" s="11"/>
      <c r="G37" s="11"/>
      <c r="H37" s="11"/>
      <c r="I37" s="11"/>
      <c r="J37" s="11"/>
      <c r="K37" s="11"/>
      <c r="L37" s="11"/>
    </row>
    <row r="38" spans="1:12" x14ac:dyDescent="0.3">
      <c r="F38" s="30"/>
      <c r="J38" s="41" t="s">
        <v>110</v>
      </c>
      <c r="K38" s="42" t="s">
        <v>111</v>
      </c>
      <c r="L38" s="43" t="s">
        <v>112</v>
      </c>
    </row>
    <row r="39" spans="1:12" x14ac:dyDescent="0.3">
      <c r="A39" t="s">
        <v>104</v>
      </c>
      <c r="B39" t="s">
        <v>100</v>
      </c>
      <c r="C39" s="7">
        <v>0.24</v>
      </c>
      <c r="D39" s="32" t="s">
        <v>102</v>
      </c>
      <c r="F39" s="30"/>
      <c r="J39" s="24"/>
      <c r="K39">
        <v>1.24</v>
      </c>
      <c r="L39" s="25">
        <v>0</v>
      </c>
    </row>
    <row r="40" spans="1:12" ht="15.6" x14ac:dyDescent="0.35">
      <c r="B40" t="s">
        <v>100</v>
      </c>
      <c r="C40" s="7">
        <v>0.86</v>
      </c>
      <c r="D40" s="73" t="s">
        <v>140</v>
      </c>
      <c r="E40" s="32"/>
      <c r="F40" s="30"/>
      <c r="J40" s="24"/>
      <c r="K40">
        <v>1.24</v>
      </c>
      <c r="L40" s="44">
        <v>1.0491803278688525</v>
      </c>
    </row>
    <row r="41" spans="1:12" x14ac:dyDescent="0.3">
      <c r="D41" s="32"/>
      <c r="E41" s="32"/>
      <c r="F41" s="30"/>
      <c r="J41" s="24"/>
      <c r="K41">
        <v>1.86</v>
      </c>
      <c r="L41" s="44">
        <v>1.173913043478261</v>
      </c>
    </row>
    <row r="42" spans="1:12" x14ac:dyDescent="0.3">
      <c r="A42" t="s">
        <v>103</v>
      </c>
      <c r="B42" t="s">
        <v>106</v>
      </c>
      <c r="C42" s="7">
        <v>51.2</v>
      </c>
      <c r="D42" s="32" t="s">
        <v>105</v>
      </c>
      <c r="F42" s="1" t="s">
        <v>79</v>
      </c>
      <c r="G42" s="13">
        <f>C42/(100-C42)</f>
        <v>1.0491803278688525</v>
      </c>
      <c r="J42" s="24"/>
      <c r="K42">
        <v>1.86</v>
      </c>
      <c r="L42" s="44">
        <v>1.3364485981308414</v>
      </c>
    </row>
    <row r="43" spans="1:12" ht="15" thickBot="1" x14ac:dyDescent="0.35">
      <c r="B43" t="s">
        <v>108</v>
      </c>
      <c r="C43" s="7">
        <v>54</v>
      </c>
      <c r="D43" s="32" t="s">
        <v>105</v>
      </c>
      <c r="F43" s="1" t="s">
        <v>79</v>
      </c>
      <c r="G43" s="13">
        <f t="shared" ref="G43:G45" si="0">C43/(100-C43)</f>
        <v>1.173913043478261</v>
      </c>
      <c r="J43" s="45"/>
      <c r="K43" s="28">
        <v>2</v>
      </c>
      <c r="L43" s="46">
        <v>1.3529411764705883</v>
      </c>
    </row>
    <row r="44" spans="1:12" x14ac:dyDescent="0.3">
      <c r="B44" t="s">
        <v>109</v>
      </c>
      <c r="C44" s="7">
        <v>57.2</v>
      </c>
      <c r="D44" s="32" t="s">
        <v>105</v>
      </c>
      <c r="F44" s="1" t="s">
        <v>79</v>
      </c>
      <c r="G44" s="13">
        <f t="shared" si="0"/>
        <v>1.3364485981308414</v>
      </c>
    </row>
    <row r="45" spans="1:12" x14ac:dyDescent="0.3">
      <c r="B45" t="s">
        <v>107</v>
      </c>
      <c r="C45" s="7">
        <v>57.5</v>
      </c>
      <c r="D45" s="32" t="s">
        <v>105</v>
      </c>
      <c r="F45" s="1" t="s">
        <v>79</v>
      </c>
      <c r="G45" s="13">
        <f t="shared" si="0"/>
        <v>1.3529411764705883</v>
      </c>
    </row>
    <row r="46" spans="1:12" x14ac:dyDescent="0.3">
      <c r="F46" s="30"/>
    </row>
    <row r="47" spans="1:12" ht="15" thickBot="1" x14ac:dyDescent="0.35">
      <c r="A47" s="81" t="s">
        <v>113</v>
      </c>
      <c r="B47" s="81"/>
      <c r="C47" s="81"/>
      <c r="D47" s="81"/>
      <c r="E47" s="81"/>
      <c r="F47" s="11"/>
      <c r="G47" s="11"/>
      <c r="H47" s="11"/>
      <c r="I47" s="11"/>
      <c r="J47" s="11"/>
      <c r="K47" s="11"/>
      <c r="L47" s="11"/>
    </row>
    <row r="48" spans="1:12" x14ac:dyDescent="0.3">
      <c r="F48" s="30"/>
      <c r="J48" s="41" t="s">
        <v>110</v>
      </c>
      <c r="K48" s="42" t="s">
        <v>111</v>
      </c>
      <c r="L48" s="43" t="s">
        <v>112</v>
      </c>
    </row>
    <row r="49" spans="1:12" x14ac:dyDescent="0.3">
      <c r="A49" t="s">
        <v>104</v>
      </c>
      <c r="B49" t="s">
        <v>100</v>
      </c>
      <c r="C49" s="7">
        <v>0.3</v>
      </c>
      <c r="D49" s="32" t="s">
        <v>102</v>
      </c>
      <c r="F49" s="30"/>
      <c r="J49" s="24"/>
      <c r="K49">
        <v>1.3</v>
      </c>
      <c r="L49" s="25">
        <v>0</v>
      </c>
    </row>
    <row r="50" spans="1:12" ht="15.6" x14ac:dyDescent="0.35">
      <c r="B50" t="s">
        <v>100</v>
      </c>
      <c r="C50" s="7">
        <v>0.77</v>
      </c>
      <c r="D50" s="73" t="s">
        <v>140</v>
      </c>
      <c r="E50" s="32"/>
      <c r="F50" s="30"/>
      <c r="J50" s="24"/>
      <c r="K50">
        <v>1.3</v>
      </c>
      <c r="L50" s="44">
        <v>1.0491803278688525</v>
      </c>
    </row>
    <row r="51" spans="1:12" x14ac:dyDescent="0.3">
      <c r="D51" s="32"/>
      <c r="E51" s="32"/>
      <c r="F51" s="30"/>
      <c r="J51" s="24"/>
      <c r="K51">
        <v>1.77</v>
      </c>
      <c r="L51" s="44">
        <v>1.1276595744680851</v>
      </c>
    </row>
    <row r="52" spans="1:12" x14ac:dyDescent="0.3">
      <c r="A52" t="s">
        <v>103</v>
      </c>
      <c r="B52" t="s">
        <v>106</v>
      </c>
      <c r="C52" s="7">
        <v>51.2</v>
      </c>
      <c r="D52" s="32" t="s">
        <v>105</v>
      </c>
      <c r="F52" s="1" t="s">
        <v>79</v>
      </c>
      <c r="G52" s="13">
        <f>C52/(100-C52)</f>
        <v>1.0491803278688525</v>
      </c>
      <c r="J52" s="24"/>
      <c r="K52">
        <v>1.77</v>
      </c>
      <c r="L52" s="44">
        <v>1.3364485981308414</v>
      </c>
    </row>
    <row r="53" spans="1:12" ht="15" thickBot="1" x14ac:dyDescent="0.35">
      <c r="B53" t="s">
        <v>108</v>
      </c>
      <c r="C53" s="7">
        <v>53</v>
      </c>
      <c r="D53" s="32" t="s">
        <v>105</v>
      </c>
      <c r="F53" s="1" t="s">
        <v>79</v>
      </c>
      <c r="G53" s="13">
        <f t="shared" ref="G53:G55" si="1">C53/(100-C53)</f>
        <v>1.1276595744680851</v>
      </c>
      <c r="J53" s="45"/>
      <c r="K53" s="28">
        <v>2</v>
      </c>
      <c r="L53" s="46">
        <v>1.3419203747072599</v>
      </c>
    </row>
    <row r="54" spans="1:12" x14ac:dyDescent="0.3">
      <c r="B54" t="s">
        <v>109</v>
      </c>
      <c r="C54" s="7">
        <v>57.2</v>
      </c>
      <c r="D54" s="32" t="s">
        <v>105</v>
      </c>
      <c r="F54" s="1" t="s">
        <v>79</v>
      </c>
      <c r="G54" s="13">
        <f t="shared" si="1"/>
        <v>1.3364485981308414</v>
      </c>
    </row>
    <row r="55" spans="1:12" x14ac:dyDescent="0.3">
      <c r="B55" t="s">
        <v>107</v>
      </c>
      <c r="C55" s="7">
        <v>57.3</v>
      </c>
      <c r="D55" s="32" t="s">
        <v>105</v>
      </c>
      <c r="F55" s="1" t="s">
        <v>79</v>
      </c>
      <c r="G55" s="13">
        <f t="shared" si="1"/>
        <v>1.3419203747072599</v>
      </c>
    </row>
  </sheetData>
  <mergeCells count="6">
    <mergeCell ref="A30:E30"/>
    <mergeCell ref="A37:E37"/>
    <mergeCell ref="A47:E47"/>
    <mergeCell ref="A1:E1"/>
    <mergeCell ref="A3:E3"/>
    <mergeCell ref="A20:E20"/>
  </mergeCells>
  <pageMargins left="0.7" right="0.7" top="0.78740157499999996" bottom="0.78740157499999996" header="0.3" footer="0.3"/>
  <pageSetup paperSize="8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6"/>
  <sheetViews>
    <sheetView zoomScale="85" zoomScaleNormal="85" workbookViewId="0">
      <selection activeCell="F56" sqref="F56"/>
    </sheetView>
  </sheetViews>
  <sheetFormatPr baseColWidth="10" defaultRowHeight="14.4" x14ac:dyDescent="0.3"/>
  <cols>
    <col min="1" max="1" width="8.6640625" customWidth="1"/>
    <col min="2" max="2" width="15.109375" customWidth="1"/>
    <col min="3" max="11" width="13.5546875" customWidth="1"/>
    <col min="16" max="16" width="12.6640625" bestFit="1" customWidth="1"/>
  </cols>
  <sheetData>
    <row r="1" spans="1:11" x14ac:dyDescent="0.3">
      <c r="B1" s="75" t="s">
        <v>114</v>
      </c>
      <c r="C1" s="75"/>
      <c r="D1" s="75"/>
      <c r="E1" s="75"/>
      <c r="F1" s="75"/>
      <c r="G1" s="75"/>
      <c r="H1" s="75"/>
      <c r="I1" s="75"/>
      <c r="J1" s="75"/>
      <c r="K1" s="75"/>
    </row>
    <row r="3" spans="1:11" x14ac:dyDescent="0.3">
      <c r="A3" s="36"/>
      <c r="B3" s="36"/>
      <c r="C3" s="88" t="s">
        <v>115</v>
      </c>
      <c r="D3" s="88"/>
      <c r="E3" s="88"/>
      <c r="F3" s="88"/>
      <c r="G3" s="88" t="s">
        <v>117</v>
      </c>
      <c r="H3" s="88"/>
      <c r="I3" s="88"/>
      <c r="J3" s="88"/>
      <c r="K3" s="36"/>
    </row>
    <row r="4" spans="1:11" x14ac:dyDescent="0.3">
      <c r="A4" s="36"/>
      <c r="B4" s="36"/>
      <c r="C4" s="36" t="s">
        <v>41</v>
      </c>
      <c r="D4" s="36" t="s">
        <v>5</v>
      </c>
      <c r="E4" s="36" t="s">
        <v>9</v>
      </c>
      <c r="F4" s="36" t="s">
        <v>13</v>
      </c>
      <c r="G4" s="36" t="s">
        <v>42</v>
      </c>
      <c r="H4" s="36" t="s">
        <v>19</v>
      </c>
      <c r="I4" s="36" t="s">
        <v>18</v>
      </c>
      <c r="J4" s="36" t="s">
        <v>116</v>
      </c>
      <c r="K4" s="36" t="s">
        <v>45</v>
      </c>
    </row>
    <row r="5" spans="1:11" x14ac:dyDescent="0.3">
      <c r="A5" s="82" t="s">
        <v>118</v>
      </c>
      <c r="B5" s="83"/>
      <c r="C5" s="35">
        <v>1448.24</v>
      </c>
      <c r="D5" s="35">
        <v>89.07</v>
      </c>
      <c r="E5" s="36">
        <v>500</v>
      </c>
      <c r="F5" s="47">
        <v>1544</v>
      </c>
      <c r="G5" s="35">
        <v>-2392.0700000000002</v>
      </c>
      <c r="H5" s="35">
        <v>-189.56</v>
      </c>
      <c r="I5" s="35">
        <v>-1000</v>
      </c>
      <c r="J5" s="48"/>
      <c r="K5" s="47"/>
    </row>
    <row r="6" spans="1:11" x14ac:dyDescent="0.3">
      <c r="A6" s="82" t="s">
        <v>119</v>
      </c>
      <c r="B6" s="83"/>
      <c r="C6" s="48">
        <v>25</v>
      </c>
      <c r="D6" s="48">
        <v>25</v>
      </c>
      <c r="E6" s="48">
        <v>25</v>
      </c>
      <c r="F6" s="48">
        <v>1200</v>
      </c>
      <c r="G6" s="74">
        <f>D56</f>
        <v>342.46838437768292</v>
      </c>
      <c r="H6" s="48">
        <v>1500</v>
      </c>
      <c r="I6" s="48">
        <v>1500</v>
      </c>
      <c r="J6" s="36"/>
      <c r="K6" s="36"/>
    </row>
    <row r="7" spans="1:11" ht="15.6" x14ac:dyDescent="0.35">
      <c r="A7" s="85" t="s">
        <v>124</v>
      </c>
      <c r="B7" t="s">
        <v>7</v>
      </c>
      <c r="C7" s="36">
        <v>94.4</v>
      </c>
      <c r="D7" s="36"/>
      <c r="E7" s="36"/>
      <c r="F7" s="36"/>
      <c r="G7" s="36"/>
      <c r="H7" s="36"/>
      <c r="I7" s="36"/>
      <c r="J7" s="36"/>
      <c r="K7" s="36"/>
    </row>
    <row r="8" spans="1:11" x14ac:dyDescent="0.3">
      <c r="A8" s="86"/>
      <c r="B8" s="36" t="s">
        <v>120</v>
      </c>
      <c r="C8" s="36"/>
      <c r="D8" s="36"/>
      <c r="E8" s="36"/>
      <c r="F8" s="36"/>
      <c r="G8" s="36"/>
      <c r="H8" s="36"/>
      <c r="I8" s="36">
        <v>100</v>
      </c>
      <c r="J8" s="36"/>
      <c r="K8" s="36"/>
    </row>
    <row r="9" spans="1:11" ht="15.6" x14ac:dyDescent="0.35">
      <c r="A9" s="86"/>
      <c r="B9" s="36" t="s">
        <v>6</v>
      </c>
      <c r="C9" s="36">
        <v>2.5</v>
      </c>
      <c r="D9" s="36"/>
      <c r="E9" s="36">
        <v>13</v>
      </c>
      <c r="F9" s="36"/>
      <c r="G9" s="36"/>
      <c r="H9" s="36"/>
      <c r="I9" s="36"/>
      <c r="J9" s="36"/>
      <c r="K9" s="36"/>
    </row>
    <row r="10" spans="1:11" x14ac:dyDescent="0.3">
      <c r="A10" s="86"/>
      <c r="B10" s="36" t="s">
        <v>4</v>
      </c>
      <c r="C10" s="36">
        <v>3.1</v>
      </c>
      <c r="D10" s="36"/>
      <c r="E10" s="36"/>
      <c r="F10" s="36"/>
      <c r="G10" s="36"/>
      <c r="H10" s="36"/>
      <c r="I10" s="36"/>
      <c r="J10" s="36"/>
      <c r="K10" s="36"/>
    </row>
    <row r="11" spans="1:11" ht="15.6" x14ac:dyDescent="0.35">
      <c r="A11" s="86"/>
      <c r="B11" s="36" t="s">
        <v>8</v>
      </c>
      <c r="C11" s="36"/>
      <c r="D11" s="36">
        <v>100</v>
      </c>
      <c r="E11" s="36"/>
      <c r="F11" s="36"/>
      <c r="G11" s="36"/>
      <c r="H11" s="36"/>
      <c r="I11" s="36"/>
      <c r="J11" s="36"/>
      <c r="K11" s="36"/>
    </row>
    <row r="12" spans="1:11" ht="15.6" x14ac:dyDescent="0.35">
      <c r="A12" s="86"/>
      <c r="B12" s="36" t="s">
        <v>121</v>
      </c>
      <c r="C12" s="36"/>
      <c r="D12" s="36"/>
      <c r="E12" s="36"/>
      <c r="F12" s="36"/>
      <c r="G12" s="36"/>
      <c r="H12" s="36">
        <v>100</v>
      </c>
      <c r="I12" s="36"/>
      <c r="J12" s="36"/>
      <c r="K12" s="36"/>
    </row>
    <row r="13" spans="1:11" x14ac:dyDescent="0.3">
      <c r="A13" s="86"/>
      <c r="B13" s="36" t="s">
        <v>10</v>
      </c>
      <c r="C13" s="36"/>
      <c r="D13" s="36"/>
      <c r="E13" s="36">
        <v>87</v>
      </c>
      <c r="F13" s="36"/>
      <c r="G13" s="36"/>
      <c r="H13" s="36"/>
      <c r="I13" s="36"/>
      <c r="J13" s="36"/>
      <c r="K13" s="36"/>
    </row>
    <row r="14" spans="1:11" ht="15.6" x14ac:dyDescent="0.35">
      <c r="A14" s="86"/>
      <c r="B14" s="36" t="s">
        <v>16</v>
      </c>
      <c r="C14" s="36"/>
      <c r="D14" s="36"/>
      <c r="E14" s="36"/>
      <c r="F14" s="35">
        <v>76.7</v>
      </c>
      <c r="G14" s="35">
        <v>49.51</v>
      </c>
      <c r="H14" s="36"/>
      <c r="I14" s="36"/>
      <c r="J14" s="36"/>
      <c r="K14" s="36"/>
    </row>
    <row r="15" spans="1:11" ht="15.6" x14ac:dyDescent="0.35">
      <c r="A15" s="86"/>
      <c r="B15" s="36" t="s">
        <v>15</v>
      </c>
      <c r="C15" s="36"/>
      <c r="D15" s="36"/>
      <c r="E15" s="36"/>
      <c r="F15" s="35">
        <v>23.3</v>
      </c>
      <c r="G15" s="36"/>
      <c r="H15" s="36"/>
      <c r="I15" s="36"/>
      <c r="J15" s="36"/>
      <c r="K15" s="36"/>
    </row>
    <row r="16" spans="1:11" x14ac:dyDescent="0.3">
      <c r="A16" s="86"/>
      <c r="B16" s="36" t="s">
        <v>55</v>
      </c>
      <c r="C16" s="36"/>
      <c r="D16" s="36"/>
      <c r="E16" s="36"/>
      <c r="F16" s="36"/>
      <c r="G16" s="35"/>
      <c r="H16" s="36"/>
      <c r="I16" s="36"/>
      <c r="J16" s="36"/>
      <c r="K16" s="36"/>
    </row>
    <row r="17" spans="1:11" ht="15.6" x14ac:dyDescent="0.35">
      <c r="A17" s="87"/>
      <c r="B17" s="36" t="s">
        <v>54</v>
      </c>
      <c r="C17" s="36"/>
      <c r="D17" s="36"/>
      <c r="E17" s="36"/>
      <c r="F17" s="36"/>
      <c r="G17" s="35"/>
      <c r="H17" s="36"/>
      <c r="I17" s="36"/>
      <c r="J17" s="36"/>
      <c r="K17" s="36"/>
    </row>
    <row r="18" spans="1:11" x14ac:dyDescent="0.3">
      <c r="A18" s="82" t="s">
        <v>122</v>
      </c>
      <c r="B18" s="83"/>
      <c r="C18" s="69">
        <f>C5*C19</f>
        <v>-8114.7339242729522</v>
      </c>
      <c r="D18" s="69">
        <f>D19*D5</f>
        <v>-1074.7774061999999</v>
      </c>
      <c r="E18" s="69">
        <f>E19*E5</f>
        <v>-986.59166666666681</v>
      </c>
      <c r="F18" s="69">
        <f>F19*F5</f>
        <v>2031.4643735714283</v>
      </c>
      <c r="G18" s="71">
        <f>C18+D18+E18+F18+H18+I18+J18</f>
        <v>-1588.4361170185912</v>
      </c>
      <c r="H18" s="69">
        <f>H19*H5</f>
        <v>5882.8965517241386</v>
      </c>
      <c r="I18" s="69">
        <f>I19*I5</f>
        <v>-1026.6940451745379</v>
      </c>
      <c r="J18" s="36">
        <v>1700</v>
      </c>
      <c r="K18" s="36"/>
    </row>
    <row r="19" spans="1:11" x14ac:dyDescent="0.3">
      <c r="A19" s="84" t="s">
        <v>123</v>
      </c>
      <c r="B19" s="84"/>
      <c r="C19" s="69">
        <f>C7/100*E26+C9/100*E28+C10/100*E29</f>
        <v>-5.6031693119047619</v>
      </c>
      <c r="D19" s="69">
        <f>D11/100*E30</f>
        <v>-12.066660000000001</v>
      </c>
      <c r="E19" s="70">
        <f>E9/100*E28+E13/100*E32</f>
        <v>-1.9731833333333335</v>
      </c>
      <c r="F19" s="69">
        <f>F14/100*E33+F15/100*E34</f>
        <v>1.3157152678571427</v>
      </c>
      <c r="G19" s="71">
        <f>G18/G5</f>
        <v>0.66404248914897601</v>
      </c>
      <c r="H19" s="69">
        <f>H12/100*E31</f>
        <v>-31.03448275862069</v>
      </c>
      <c r="I19" s="69">
        <f>I8/100*E27</f>
        <v>1.0266940451745379</v>
      </c>
      <c r="J19" s="72"/>
      <c r="K19" s="72"/>
    </row>
    <row r="25" spans="1:11" s="50" customFormat="1" ht="28.8" x14ac:dyDescent="0.3">
      <c r="B25" s="51" t="s">
        <v>125</v>
      </c>
      <c r="C25" s="52" t="s">
        <v>127</v>
      </c>
      <c r="D25" s="52" t="s">
        <v>126</v>
      </c>
      <c r="E25" s="53" t="s">
        <v>123</v>
      </c>
    </row>
    <row r="26" spans="1:11" ht="15.6" x14ac:dyDescent="0.35">
      <c r="B26" s="36" t="s">
        <v>7</v>
      </c>
      <c r="C26" s="55">
        <v>-825787</v>
      </c>
      <c r="D26" s="36">
        <v>160</v>
      </c>
      <c r="E26" s="54">
        <f>C26/D26*10^-3</f>
        <v>-5.1611687499999999</v>
      </c>
    </row>
    <row r="27" spans="1:11" x14ac:dyDescent="0.3">
      <c r="B27" s="36" t="s">
        <v>120</v>
      </c>
      <c r="C27" s="55">
        <v>50000</v>
      </c>
      <c r="D27" s="36">
        <v>48.7</v>
      </c>
      <c r="E27" s="54">
        <f t="shared" ref="E27:E34" si="0">C27/D27*10^-3</f>
        <v>1.0266940451745379</v>
      </c>
    </row>
    <row r="28" spans="1:11" ht="15.6" x14ac:dyDescent="0.35">
      <c r="B28" s="36" t="s">
        <v>6</v>
      </c>
      <c r="C28" s="55">
        <v>-910700</v>
      </c>
      <c r="D28" s="36">
        <v>60</v>
      </c>
      <c r="E28" s="54">
        <f t="shared" si="0"/>
        <v>-15.178333333333335</v>
      </c>
    </row>
    <row r="29" spans="1:11" x14ac:dyDescent="0.3">
      <c r="B29" s="36" t="s">
        <v>4</v>
      </c>
      <c r="C29" s="55">
        <v>-635090</v>
      </c>
      <c r="D29" s="36">
        <v>56</v>
      </c>
      <c r="E29" s="54">
        <f t="shared" si="0"/>
        <v>-11.340892857142856</v>
      </c>
    </row>
    <row r="30" spans="1:11" ht="15.6" x14ac:dyDescent="0.35">
      <c r="B30" s="36" t="s">
        <v>8</v>
      </c>
      <c r="C30" s="55">
        <v>-1206666</v>
      </c>
      <c r="D30" s="36">
        <v>100</v>
      </c>
      <c r="E30" s="54">
        <f t="shared" si="0"/>
        <v>-12.066660000000001</v>
      </c>
    </row>
    <row r="31" spans="1:11" ht="15.6" x14ac:dyDescent="0.35">
      <c r="B31" s="36" t="s">
        <v>121</v>
      </c>
      <c r="C31" s="55">
        <v>-3600000</v>
      </c>
      <c r="D31" s="36">
        <v>116</v>
      </c>
      <c r="E31" s="54">
        <f t="shared" si="0"/>
        <v>-31.03448275862069</v>
      </c>
    </row>
    <row r="32" spans="1:11" x14ac:dyDescent="0.3">
      <c r="B32" s="36" t="s">
        <v>10</v>
      </c>
      <c r="C32" s="55">
        <v>0</v>
      </c>
      <c r="D32" s="36">
        <v>12</v>
      </c>
      <c r="E32" s="54">
        <f t="shared" si="0"/>
        <v>0</v>
      </c>
    </row>
    <row r="33" spans="2:7" ht="15.6" x14ac:dyDescent="0.35">
      <c r="B33" s="36" t="s">
        <v>16</v>
      </c>
      <c r="C33" s="55">
        <v>37500</v>
      </c>
      <c r="D33" s="36">
        <v>28</v>
      </c>
      <c r="E33" s="54">
        <f t="shared" si="0"/>
        <v>1.3392857142857142</v>
      </c>
    </row>
    <row r="34" spans="2:7" ht="15.6" x14ac:dyDescent="0.35">
      <c r="B34" s="36" t="s">
        <v>15</v>
      </c>
      <c r="C34" s="55">
        <v>39620</v>
      </c>
      <c r="D34" s="36">
        <v>32</v>
      </c>
      <c r="E34" s="54">
        <f t="shared" si="0"/>
        <v>1.2381249999999999</v>
      </c>
    </row>
    <row r="35" spans="2:7" x14ac:dyDescent="0.3">
      <c r="C35" s="39" t="s">
        <v>139</v>
      </c>
      <c r="E35" s="68"/>
    </row>
    <row r="39" spans="2:7" x14ac:dyDescent="0.3">
      <c r="B39" s="81" t="s">
        <v>128</v>
      </c>
      <c r="C39" s="81"/>
      <c r="D39" s="81"/>
      <c r="E39" s="81"/>
    </row>
    <row r="40" spans="2:7" x14ac:dyDescent="0.3">
      <c r="C40" s="1" t="s">
        <v>130</v>
      </c>
      <c r="D40" s="1" t="s">
        <v>129</v>
      </c>
    </row>
    <row r="41" spans="2:7" ht="15.6" x14ac:dyDescent="0.35">
      <c r="B41" t="s">
        <v>16</v>
      </c>
      <c r="C41" s="62">
        <v>55.59</v>
      </c>
      <c r="D41" s="62">
        <f>1184.47/SUM(Massenbilanz!E33:E35)*100</f>
        <v>49.433839486906614</v>
      </c>
    </row>
    <row r="42" spans="2:7" ht="15.6" x14ac:dyDescent="0.35">
      <c r="B42" t="s">
        <v>54</v>
      </c>
      <c r="C42" s="62">
        <v>21.46</v>
      </c>
      <c r="D42" s="62">
        <f>721.6/SUM(Massenbilanz!E33:E35)*100</f>
        <v>30.115966275002165</v>
      </c>
    </row>
    <row r="43" spans="2:7" x14ac:dyDescent="0.3">
      <c r="B43" t="s">
        <v>55</v>
      </c>
      <c r="C43" s="62">
        <v>22.96</v>
      </c>
      <c r="D43" s="62">
        <f>490/SUM(Massenbilanz!E33:E35)*100</f>
        <v>20.450143396273639</v>
      </c>
    </row>
    <row r="45" spans="2:7" x14ac:dyDescent="0.3">
      <c r="D45" t="s">
        <v>131</v>
      </c>
      <c r="E45" s="63"/>
      <c r="F45" t="s">
        <v>26</v>
      </c>
      <c r="G45">
        <v>31.44</v>
      </c>
    </row>
    <row r="48" spans="2:7" x14ac:dyDescent="0.3">
      <c r="B48" s="81" t="s">
        <v>132</v>
      </c>
      <c r="C48" s="81"/>
      <c r="D48" s="81"/>
      <c r="E48" s="81"/>
    </row>
    <row r="49" spans="2:5" x14ac:dyDescent="0.3">
      <c r="C49" t="s">
        <v>133</v>
      </c>
      <c r="D49" t="s">
        <v>135</v>
      </c>
    </row>
    <row r="50" spans="2:5" ht="15.6" x14ac:dyDescent="0.35">
      <c r="B50" t="s">
        <v>16</v>
      </c>
      <c r="C50" s="49">
        <v>30.15</v>
      </c>
      <c r="D50">
        <f>C50/28*10^-3</f>
        <v>1.0767857142857142E-3</v>
      </c>
    </row>
    <row r="51" spans="2:5" ht="15.6" x14ac:dyDescent="0.35">
      <c r="B51" t="s">
        <v>54</v>
      </c>
      <c r="C51" s="49">
        <v>47.36</v>
      </c>
      <c r="D51">
        <f>C51/44*10^-3</f>
        <v>1.0763636363636364E-3</v>
      </c>
    </row>
    <row r="52" spans="2:5" x14ac:dyDescent="0.3">
      <c r="B52" t="s">
        <v>55</v>
      </c>
      <c r="C52" s="49">
        <v>30.46</v>
      </c>
      <c r="D52">
        <f t="shared" ref="D52" si="1">C52/28*10^-3</f>
        <v>1.0878571428571428E-3</v>
      </c>
    </row>
    <row r="53" spans="2:5" x14ac:dyDescent="0.3">
      <c r="C53" s="56" t="s">
        <v>134</v>
      </c>
    </row>
    <row r="54" spans="2:5" x14ac:dyDescent="0.3">
      <c r="B54" t="s">
        <v>42</v>
      </c>
      <c r="D54">
        <f>D50*D41/100+D51*D42/100+D52*D43/100</f>
        <v>1.0789221770024916E-3</v>
      </c>
    </row>
    <row r="56" spans="2:5" x14ac:dyDescent="0.3">
      <c r="B56" t="s">
        <v>136</v>
      </c>
      <c r="D56" s="63">
        <f>G19/D54-273</f>
        <v>342.46838437768292</v>
      </c>
      <c r="E56" t="s">
        <v>137</v>
      </c>
    </row>
  </sheetData>
  <mergeCells count="10">
    <mergeCell ref="B1:K1"/>
    <mergeCell ref="C3:F3"/>
    <mergeCell ref="G3:J3"/>
    <mergeCell ref="A5:B5"/>
    <mergeCell ref="A6:B6"/>
    <mergeCell ref="A18:B18"/>
    <mergeCell ref="A19:B19"/>
    <mergeCell ref="A7:A17"/>
    <mergeCell ref="B39:E39"/>
    <mergeCell ref="B48:E4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chemische Grundlagen</vt:lpstr>
      <vt:lpstr>Massenbilanz</vt:lpstr>
      <vt:lpstr>Rist-Diagram</vt:lpstr>
      <vt:lpstr>Energiebilanz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Pichler</dc:creator>
  <cp:lastModifiedBy>Maximilian Schaber</cp:lastModifiedBy>
  <cp:lastPrinted>2015-02-16T17:28:20Z</cp:lastPrinted>
  <dcterms:created xsi:type="dcterms:W3CDTF">2015-02-13T06:28:29Z</dcterms:created>
  <dcterms:modified xsi:type="dcterms:W3CDTF">2026-01-13T11:40:29Z</dcterms:modified>
</cp:coreProperties>
</file>